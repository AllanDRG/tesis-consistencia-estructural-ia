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roco\OneDrive\Documentos\Tesis\Pruebas LCT piloto\"/>
    </mc:Choice>
  </mc:AlternateContent>
  <xr:revisionPtr revIDLastSave="0" documentId="13_ncr:1_{7F10C1F0-424F-4D78-B6A8-FB224DA1DE94}" xr6:coauthVersionLast="47" xr6:coauthVersionMax="47" xr10:uidLastSave="{00000000-0000-0000-0000-000000000000}"/>
  <bookViews>
    <workbookView xWindow="-120" yWindow="-120" windowWidth="29040" windowHeight="16440" activeTab="2" xr2:uid="{00000000-000D-0000-FFFF-FFFF00000000}"/>
  </bookViews>
  <sheets>
    <sheet name="Referencia_24" sheetId="1" r:id="rId1"/>
    <sheet name="Comparacion_LCT" sheetId="2" r:id="rId2"/>
    <sheet name="Rubric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 i="2" l="1"/>
  <c r="O25" i="2"/>
  <c r="L25" i="2"/>
  <c r="J25" i="2"/>
  <c r="I25" i="2"/>
  <c r="G25" i="2"/>
  <c r="F25" i="2"/>
  <c r="Q24" i="2"/>
  <c r="O24" i="2"/>
  <c r="L24" i="2"/>
  <c r="I24" i="2"/>
  <c r="F24" i="2"/>
  <c r="D24" i="2"/>
  <c r="Q23" i="2"/>
  <c r="O23" i="2"/>
  <c r="L23" i="2"/>
  <c r="J23" i="2"/>
  <c r="I23" i="2"/>
  <c r="G23" i="2"/>
  <c r="F23" i="2"/>
  <c r="Q22" i="2"/>
  <c r="O22" i="2"/>
  <c r="L22" i="2"/>
  <c r="I22" i="2"/>
  <c r="F22" i="2"/>
  <c r="Q21" i="2"/>
  <c r="O21" i="2"/>
  <c r="L21" i="2"/>
  <c r="J21" i="2"/>
  <c r="I21" i="2"/>
  <c r="G21" i="2"/>
  <c r="F21" i="2"/>
  <c r="Q20" i="2"/>
  <c r="O20" i="2"/>
  <c r="L20" i="2"/>
  <c r="I20" i="2"/>
  <c r="F20" i="2"/>
  <c r="D20" i="2"/>
  <c r="Q19" i="2"/>
  <c r="O19" i="2"/>
  <c r="L19" i="2"/>
  <c r="J19" i="2"/>
  <c r="I19" i="2"/>
  <c r="G19" i="2"/>
  <c r="F19" i="2"/>
  <c r="Q18" i="2"/>
  <c r="O18" i="2"/>
  <c r="L18" i="2"/>
  <c r="I18" i="2"/>
  <c r="F18" i="2"/>
  <c r="Q17" i="2"/>
  <c r="O17" i="2"/>
  <c r="L17" i="2"/>
  <c r="J17" i="2"/>
  <c r="I17" i="2"/>
  <c r="G17" i="2"/>
  <c r="F17" i="2"/>
  <c r="Q16" i="2"/>
  <c r="O16" i="2"/>
  <c r="L16" i="2"/>
  <c r="I16" i="2"/>
  <c r="F16" i="2"/>
  <c r="D16" i="2"/>
  <c r="Q15" i="2"/>
  <c r="O15" i="2"/>
  <c r="L15" i="2"/>
  <c r="J15" i="2"/>
  <c r="I15" i="2"/>
  <c r="G15" i="2"/>
  <c r="F15" i="2"/>
  <c r="Q14" i="2"/>
  <c r="O14" i="2"/>
  <c r="L14" i="2"/>
  <c r="I14" i="2"/>
  <c r="F14" i="2"/>
  <c r="Q13" i="2"/>
  <c r="O13" i="2"/>
  <c r="L13" i="2"/>
  <c r="J13" i="2"/>
  <c r="I13" i="2"/>
  <c r="G13" i="2"/>
  <c r="F13" i="2"/>
  <c r="Q12" i="2"/>
  <c r="O12" i="2"/>
  <c r="L12" i="2"/>
  <c r="I12" i="2"/>
  <c r="F12" i="2"/>
  <c r="D12" i="2"/>
  <c r="Q11" i="2"/>
  <c r="O11" i="2"/>
  <c r="L11" i="2"/>
  <c r="J11" i="2"/>
  <c r="I11" i="2"/>
  <c r="G11" i="2"/>
  <c r="F11" i="2"/>
  <c r="Q10" i="2"/>
  <c r="O10" i="2"/>
  <c r="L10" i="2"/>
  <c r="I10" i="2"/>
  <c r="F10" i="2"/>
  <c r="Q9" i="2"/>
  <c r="O9" i="2"/>
  <c r="L9" i="2"/>
  <c r="J9" i="2"/>
  <c r="I9" i="2"/>
  <c r="G9" i="2"/>
  <c r="F9" i="2"/>
  <c r="Q8" i="2"/>
  <c r="O8" i="2"/>
  <c r="L8" i="2"/>
  <c r="I8" i="2"/>
  <c r="F8" i="2"/>
  <c r="D8" i="2"/>
  <c r="Q7" i="2"/>
  <c r="O7" i="2"/>
  <c r="L7" i="2"/>
  <c r="J7" i="2"/>
  <c r="I7" i="2"/>
  <c r="G7" i="2"/>
  <c r="F7" i="2"/>
  <c r="Q6" i="2"/>
  <c r="O6" i="2"/>
  <c r="L6" i="2"/>
  <c r="I6" i="2"/>
  <c r="F6" i="2"/>
  <c r="Q5" i="2"/>
  <c r="O5" i="2"/>
  <c r="L5" i="2"/>
  <c r="J5" i="2"/>
  <c r="I5" i="2"/>
  <c r="G5" i="2"/>
  <c r="F5" i="2"/>
  <c r="Q4" i="2"/>
  <c r="O4" i="2"/>
  <c r="L4" i="2"/>
  <c r="I4" i="2"/>
  <c r="F4" i="2"/>
  <c r="D4" i="2"/>
  <c r="Q3" i="2"/>
  <c r="O3" i="2"/>
  <c r="L3" i="2"/>
  <c r="J3" i="2"/>
  <c r="I3" i="2"/>
  <c r="G3" i="2"/>
  <c r="F3" i="2"/>
  <c r="Q2" i="2"/>
  <c r="O2" i="2"/>
  <c r="L2" i="2"/>
  <c r="I2" i="2"/>
  <c r="F2" i="2"/>
  <c r="X25" i="1"/>
  <c r="S25" i="1"/>
  <c r="Y25" i="1" s="1"/>
  <c r="N25" i="1"/>
  <c r="D25" i="2" s="1"/>
  <c r="X24" i="1"/>
  <c r="J24" i="2" s="1"/>
  <c r="S24" i="1"/>
  <c r="Y24" i="1" s="1"/>
  <c r="N24" i="1"/>
  <c r="X23" i="1"/>
  <c r="S23" i="1"/>
  <c r="Y23" i="1" s="1"/>
  <c r="N23" i="1"/>
  <c r="D23" i="2" s="1"/>
  <c r="X22" i="1"/>
  <c r="J22" i="2" s="1"/>
  <c r="S22" i="1"/>
  <c r="Y22" i="1" s="1"/>
  <c r="N22" i="1"/>
  <c r="D22" i="2" s="1"/>
  <c r="X21" i="1"/>
  <c r="S21" i="1"/>
  <c r="Y21" i="1" s="1"/>
  <c r="N21" i="1"/>
  <c r="D21" i="2" s="1"/>
  <c r="X20" i="1"/>
  <c r="J20" i="2" s="1"/>
  <c r="S20" i="1"/>
  <c r="Y20" i="1" s="1"/>
  <c r="N20" i="1"/>
  <c r="X19" i="1"/>
  <c r="S19" i="1"/>
  <c r="Y19" i="1" s="1"/>
  <c r="N19" i="1"/>
  <c r="D19" i="2" s="1"/>
  <c r="X18" i="1"/>
  <c r="J18" i="2" s="1"/>
  <c r="S18" i="1"/>
  <c r="Y18" i="1" s="1"/>
  <c r="N18" i="1"/>
  <c r="D18" i="2" s="1"/>
  <c r="X17" i="1"/>
  <c r="S17" i="1"/>
  <c r="Y17" i="1" s="1"/>
  <c r="N17" i="1"/>
  <c r="D17" i="2" s="1"/>
  <c r="X16" i="1"/>
  <c r="J16" i="2" s="1"/>
  <c r="S16" i="1"/>
  <c r="G16" i="2" s="1"/>
  <c r="N16" i="1"/>
  <c r="X15" i="1"/>
  <c r="S15" i="1"/>
  <c r="Y15" i="1" s="1"/>
  <c r="N15" i="1"/>
  <c r="D15" i="2" s="1"/>
  <c r="X14" i="1"/>
  <c r="J14" i="2" s="1"/>
  <c r="S14" i="1"/>
  <c r="Y14" i="1" s="1"/>
  <c r="N14" i="1"/>
  <c r="D14" i="2" s="1"/>
  <c r="X13" i="1"/>
  <c r="S13" i="1"/>
  <c r="Y13" i="1" s="1"/>
  <c r="N13" i="1"/>
  <c r="D13" i="2" s="1"/>
  <c r="X12" i="1"/>
  <c r="J12" i="2" s="1"/>
  <c r="S12" i="1"/>
  <c r="Y12" i="1" s="1"/>
  <c r="N12" i="1"/>
  <c r="X11" i="1"/>
  <c r="S11" i="1"/>
  <c r="Y11" i="1" s="1"/>
  <c r="N11" i="1"/>
  <c r="D11" i="2" s="1"/>
  <c r="X10" i="1"/>
  <c r="J10" i="2" s="1"/>
  <c r="S10" i="1"/>
  <c r="Y10" i="1" s="1"/>
  <c r="N10" i="1"/>
  <c r="D10" i="2" s="1"/>
  <c r="X9" i="1"/>
  <c r="S9" i="1"/>
  <c r="Y9" i="1" s="1"/>
  <c r="N9" i="1"/>
  <c r="D9" i="2" s="1"/>
  <c r="X8" i="1"/>
  <c r="J8" i="2" s="1"/>
  <c r="S8" i="1"/>
  <c r="Y8" i="1" s="1"/>
  <c r="N8" i="1"/>
  <c r="X7" i="1"/>
  <c r="S7" i="1"/>
  <c r="Y7" i="1" s="1"/>
  <c r="N7" i="1"/>
  <c r="D7" i="2" s="1"/>
  <c r="X6" i="1"/>
  <c r="J6" i="2" s="1"/>
  <c r="S6" i="1"/>
  <c r="Y6" i="1" s="1"/>
  <c r="N6" i="1"/>
  <c r="D6" i="2" s="1"/>
  <c r="X5" i="1"/>
  <c r="S5" i="1"/>
  <c r="Y5" i="1" s="1"/>
  <c r="N5" i="1"/>
  <c r="D5" i="2" s="1"/>
  <c r="X4" i="1"/>
  <c r="J4" i="2" s="1"/>
  <c r="S4" i="1"/>
  <c r="Y4" i="1" s="1"/>
  <c r="N4" i="1"/>
  <c r="X3" i="1"/>
  <c r="S3" i="1"/>
  <c r="Y3" i="1" s="1"/>
  <c r="N3" i="1"/>
  <c r="D3" i="2" s="1"/>
  <c r="X2" i="1"/>
  <c r="J2" i="2" s="1"/>
  <c r="S2" i="1"/>
  <c r="Y2" i="1" s="1"/>
  <c r="N2" i="1"/>
  <c r="D2" i="2" s="1"/>
  <c r="M3" i="2" l="1"/>
  <c r="Z3" i="1"/>
  <c r="P3" i="2" s="1"/>
  <c r="M23" i="2"/>
  <c r="Z23" i="1"/>
  <c r="P23" i="2" s="1"/>
  <c r="M10" i="2"/>
  <c r="Z10" i="1"/>
  <c r="P10" i="2" s="1"/>
  <c r="Z4" i="1"/>
  <c r="P4" i="2" s="1"/>
  <c r="M4" i="2"/>
  <c r="Z5" i="1"/>
  <c r="P5" i="2" s="1"/>
  <c r="M5" i="2"/>
  <c r="M19" i="2"/>
  <c r="Z19" i="1"/>
  <c r="P19" i="2" s="1"/>
  <c r="M6" i="2"/>
  <c r="Z6" i="1"/>
  <c r="P6" i="2" s="1"/>
  <c r="Z20" i="1"/>
  <c r="P20" i="2" s="1"/>
  <c r="M20" i="2"/>
  <c r="M14" i="2"/>
  <c r="Z14" i="1"/>
  <c r="P14" i="2" s="1"/>
  <c r="Z8" i="1"/>
  <c r="P8" i="2" s="1"/>
  <c r="M8" i="2"/>
  <c r="Z9" i="1"/>
  <c r="P9" i="2" s="1"/>
  <c r="M9" i="2"/>
  <c r="Z17" i="1"/>
  <c r="P17" i="2" s="1"/>
  <c r="M17" i="2"/>
  <c r="Z24" i="1"/>
  <c r="P24" i="2" s="1"/>
  <c r="M24" i="2"/>
  <c r="M11" i="2"/>
  <c r="Z11" i="1"/>
  <c r="P11" i="2" s="1"/>
  <c r="M18" i="2"/>
  <c r="Z18" i="1"/>
  <c r="P18" i="2" s="1"/>
  <c r="Z25" i="1"/>
  <c r="P25" i="2" s="1"/>
  <c r="M25" i="2"/>
  <c r="Z12" i="1"/>
  <c r="P12" i="2" s="1"/>
  <c r="M12" i="2"/>
  <c r="Z13" i="1"/>
  <c r="P13" i="2" s="1"/>
  <c r="M13" i="2"/>
  <c r="M7" i="2"/>
  <c r="Z7" i="1"/>
  <c r="P7" i="2" s="1"/>
  <c r="Z21" i="1"/>
  <c r="P21" i="2" s="1"/>
  <c r="M21" i="2"/>
  <c r="M15" i="2"/>
  <c r="Z15" i="1"/>
  <c r="P15" i="2" s="1"/>
  <c r="M2" i="2"/>
  <c r="Z2" i="1"/>
  <c r="P2" i="2" s="1"/>
  <c r="M22" i="2"/>
  <c r="Z22" i="1"/>
  <c r="P22" i="2" s="1"/>
  <c r="Y16" i="1"/>
  <c r="G2" i="2"/>
  <c r="G4" i="2"/>
  <c r="G6" i="2"/>
  <c r="G8" i="2"/>
  <c r="G10" i="2"/>
  <c r="G12" i="2"/>
  <c r="G14" i="2"/>
  <c r="G18" i="2"/>
  <c r="G20" i="2"/>
  <c r="G22" i="2"/>
  <c r="G24" i="2"/>
  <c r="Z16" i="1" l="1"/>
  <c r="P16" i="2" s="1"/>
  <c r="M16" i="2"/>
</calcChain>
</file>

<file path=xl/sharedStrings.xml><?xml version="1.0" encoding="utf-8"?>
<sst xmlns="http://schemas.openxmlformats.org/spreadsheetml/2006/main" count="359" uniqueCount="261">
  <si>
    <t>Caso</t>
  </si>
  <si>
    <t>Área</t>
  </si>
  <si>
    <t>Tema</t>
  </si>
  <si>
    <t>Tipo de prueba</t>
  </si>
  <si>
    <t>Entrada A</t>
  </si>
  <si>
    <t>Entrada B</t>
  </si>
  <si>
    <t>Respuesta A</t>
  </si>
  <si>
    <t>Respuesta B</t>
  </si>
  <si>
    <t>IEE Semántica</t>
  </si>
  <si>
    <t>IEE Objetivo</t>
  </si>
  <si>
    <t>IEE Cognitivo</t>
  </si>
  <si>
    <t>IEE Alcance</t>
  </si>
  <si>
    <t>IEE Neutralidad</t>
  </si>
  <si>
    <t>IEE Ref</t>
  </si>
  <si>
    <t>IPE A Definición</t>
  </si>
  <si>
    <t>IPE A Causalidad</t>
  </si>
  <si>
    <t>IPE A Ejemplificación</t>
  </si>
  <si>
    <t>IPE A Aplicación</t>
  </si>
  <si>
    <t>IPE A Ref</t>
  </si>
  <si>
    <t>IPE B Definición</t>
  </si>
  <si>
    <t>IPE B Causalidad</t>
  </si>
  <si>
    <t>IPE B Ejemplificación</t>
  </si>
  <si>
    <t>IPE B Aplicación</t>
  </si>
  <si>
    <t>IPE B Ref</t>
  </si>
  <si>
    <t>ΔIPE Ref</t>
  </si>
  <si>
    <t>|ΔIPE| Ref</t>
  </si>
  <si>
    <t>Comportamiento esperado</t>
  </si>
  <si>
    <t>PILOT-001</t>
  </si>
  <si>
    <t>Redes</t>
  </si>
  <si>
    <t>Latencia</t>
  </si>
  <si>
    <t>Equivalencia fuerte / diferencia clara de profundidad</t>
  </si>
  <si>
    <t>Explique qué es la latencia en redes de computadoras y cómo puede afectar una comunicación en tiempo real.</t>
  </si>
  <si>
    <t>Describa qué se entiende por latencia en una red informática y de qué manera influye en aplicaciones de tiempo real.</t>
  </si>
  <si>
    <t>La latencia es el tiempo que tarda la información en desplazarse desde un origen hasta un destino. Puede aumentar por la distancia, el procesamiento de los dispositivos intermedios y la congestión. En una videollamada, una latencia elevada provoca retrasos entre lo que una persona dice y lo que la otra escucha; por ello, reducirla mejora la interacción en aplicaciones en tiempo real.</t>
  </si>
  <si>
    <t>La latencia es el retraso que existe cuando los datos viajan por una red. Puede afectar algunas aplicaciones porque la información tarda más en llegar.</t>
  </si>
  <si>
    <t>IEE alto; IPE-A claramente superior.</t>
  </si>
  <si>
    <t>PILOT-002</t>
  </si>
  <si>
    <t>Bases de datos</t>
  </si>
  <si>
    <t>Índices</t>
  </si>
  <si>
    <t>Equivalencia fuerte / control de verborrea</t>
  </si>
  <si>
    <t>Explique cómo un índice puede mejorar el rendimiento de las consultas en una base de datos.</t>
  </si>
  <si>
    <t>Describa de qué manera los índices contribuyen al rendimiento de las consultas en una base de datos.</t>
  </si>
  <si>
    <t>Un índice mantiene una estructura auxiliar que permite localizar registros sin recorrer toda la tabla. Por ejemplo, un índice basado en un árbol B reduce las páginas que deben examinarse para encontrar un valor. Esto acelera muchas búsquedas, aunque mantener el índice añade costo durante inserciones, eliminaciones y actualizaciones.</t>
  </si>
  <si>
    <t>Los índices son elementos muy importantes dentro de las bases de datos modernas y se utilizan en muchos sistemas. Ayudan a que la información pueda ser manejada de forma eficiente y organizada. Son útiles en aplicaciones empresariales, sistemas grandes y diferentes escenarios donde el rendimiento es importante. Por ello, los índices son considerados una herramienta valiosa para las bases de datos.</t>
  </si>
  <si>
    <t>A debe superar a B pese a que B es más larga.</t>
  </si>
  <si>
    <t>PILOT-003</t>
  </si>
  <si>
    <t>TCP</t>
  </si>
  <si>
    <t>Equivalencia fuerte / respuestas de profundidad similar</t>
  </si>
  <si>
    <t>Explique cómo TCP proporciona una transmisión confiable de datos.</t>
  </si>
  <si>
    <t>Describa los mecanismos mediante los cuales TCP garantiza la entrega confiable de información.</t>
  </si>
  <si>
    <t>TCP utiliza números de secuencia, confirmaciones y retransmisiones. Los números de secuencia permiten ordenar los segmentos, mientras que las confirmaciones indican al emisor qué información llegó correctamente. Si un segmento no es confirmado dentro del tiempo esperado, puede retransmitirse. Así se compensan pérdidas y desorden durante la comunicación.</t>
  </si>
  <si>
    <t>TCP numera los segmentos para conservar el orden y utiliza acknowledgments para confirmar la recepción. Cuando determinados datos no son confirmados, el emisor puede retransmitirlos. Estos mecanismos permiten recuperar información perdida y entregar al receptor el flujo de datos en el orden esperado.</t>
  </si>
  <si>
    <t>IPE muy cercanos; ΔIPE pequeño.</t>
  </si>
  <si>
    <t>PILOT-004</t>
  </si>
  <si>
    <t>Sistemas operativos</t>
  </si>
  <si>
    <t>Memoria virtual</t>
  </si>
  <si>
    <t>Equivalencia fuerte / diferencia clara</t>
  </si>
  <si>
    <t>Explique qué es la memoria virtual y cómo contribuye al funcionamiento de un sistema operativo.</t>
  </si>
  <si>
    <t>Describa qué se entiende por memoria virtual y cuál es su utilidad dentro de un sistema operativo.</t>
  </si>
  <si>
    <t>La memoria virtual permite que cada proceso disponga de un espacio de direcciones lógico que puede exceder la RAM disponible. El sistema operativo mantiene en memoria principal las páginas necesarias y almacena temporalmente otras en almacenamiento secundario. Cuando una página requerida no está en RAM ocurre un fallo de página y debe recuperarse. Esto facilita aislamiento y ejecución de programas grandes, aunque un exceso de intercambios degrada el rendimiento.</t>
  </si>
  <si>
    <t>La memoria virtual es una función del sistema operativo que permite disponer de más memoria para ejecutar programas cuando la RAM no es suficiente.</t>
  </si>
  <si>
    <t>IPE-A claramente superior.</t>
  </si>
  <si>
    <t>PILOT-005</t>
  </si>
  <si>
    <t>Programación</t>
  </si>
  <si>
    <t>Recursividad</t>
  </si>
  <si>
    <t>Equivalencia fuerte / ejemplo vs ejemplo</t>
  </si>
  <si>
    <t>Explique mediante un ejemplo cómo funciona la recursividad en programación.</t>
  </si>
  <si>
    <t>Describa el funcionamiento de la recursividad utilizando un caso ilustrativo.</t>
  </si>
  <si>
    <t>La recursividad ocurre cuando una función se llama a sí misma para resolver una versión más pequeña del problema y se detiene al alcanzar un caso base. Por ejemplo, factorial(n) puede calcular n por factorial(n-1), mientras que factorial(0) devuelve 1. Cada llamada reduce el problema hasta llegar al caso base y luego se resuelven las llamadas pendientes.</t>
  </si>
  <si>
    <t>Una función recursiva se invoca a sí misma. Por ejemplo, para calcular un factorial se puede llamar nuevamente a la función usando un número menor hasta llegar a cero. En ese punto se detienen las llamadas y se obtiene el resultado.</t>
  </si>
  <si>
    <t>Ambos razonables; A moderadamente superior.</t>
  </si>
  <si>
    <t>PILOT-006</t>
  </si>
  <si>
    <t>Algoritmos</t>
  </si>
  <si>
    <t>Búsqueda binaria</t>
  </si>
  <si>
    <t>Caso fronterizo de equivalencia</t>
  </si>
  <si>
    <t>Explique cómo la búsqueda binaria reduce progresivamente el espacio de búsqueda.</t>
  </si>
  <si>
    <t>Describa por qué la búsqueda binaria puede localizar elementos eficientemente en una colección ordenada.</t>
  </si>
  <si>
    <t>La búsqueda binaria compara el objetivo con el elemento central de una colección ordenada. Si no coincide, descarta la mitad que no puede contenerlo y repite el proceso sobre la mitad restante. Como el espacio de búsqueda se divide aproximadamente entre dos en cada paso, el número de comparaciones crece de forma logarítmica.</t>
  </si>
  <si>
    <t>La búsqueda binaria es eficiente porque aprovecha que los datos están ordenados. Revisa el valor central y elimina una parte de los elementos que ya no necesita revisar. Después continúa hasta encontrar el valor o determinar que no existe.</t>
  </si>
  <si>
    <t>IEE medio-alto; IPE relativamente cercanos.</t>
  </si>
  <si>
    <t>PILOT-007</t>
  </si>
  <si>
    <t>Modelo OSI</t>
  </si>
  <si>
    <t>Equivalencia parcial intencional</t>
  </si>
  <si>
    <t>Explique qué es el modelo OSI y cuál es su propósito en las comunicaciones de red.</t>
  </si>
  <si>
    <t>Enumere las siete capas del modelo OSI en orden.</t>
  </si>
  <si>
    <t>El modelo OSI es un marco conceptual que divide la comunicación de red en siete capas para separar responsabilidades y facilitar el diseño, interoperabilidad y diagnóstico. Sus capas son física, enlace de datos, red, transporte, sesión, presentación y aplicación. Cada una agrupa funciones específicas dentro del proceso de comunicación.</t>
  </si>
  <si>
    <t>Las capas son: física, enlace de datos, red, transporte, sesión, presentación y aplicación.</t>
  </si>
  <si>
    <t>IEE bajo/revisión fuerte.</t>
  </si>
  <si>
    <t>PILOT-008</t>
  </si>
  <si>
    <t>Concurrencia</t>
  </si>
  <si>
    <t>Condición de carrera</t>
  </si>
  <si>
    <t>Explique por qué se producen condiciones de carrera en sistemas concurrentes.</t>
  </si>
  <si>
    <t>Describa qué es una condición de carrera en programación concurrente.</t>
  </si>
  <si>
    <t>Una condición de carrera aparece cuando varios hilos o procesos acceden a un recurso compartido y el resultado depende del orden temporal de operaciones no coordinadas. Si dos hilos leen y modifican el mismo valor sin sincronización, una actualización puede sobrescribir a la otra. Mecanismos como mutex o semáforos controlan el acceso para evitar esa dependencia del intercalado.</t>
  </si>
  <si>
    <t>Una condición de carrera es un problema que ocurre cuando varios hilos trabajan con los mismos datos y el resultado puede cambiar dependiendo del orden en que se ejecutan.</t>
  </si>
  <si>
    <t>IEE intermedio; A superior en causalidad.</t>
  </si>
  <si>
    <t>PILOT-009</t>
  </si>
  <si>
    <t>Estructuras de datos</t>
  </si>
  <si>
    <t>Pila y cola</t>
  </si>
  <si>
    <t>No equivalentes / trampa temática</t>
  </si>
  <si>
    <t>Explique el funcionamiento de una pila como estructura de datos.</t>
  </si>
  <si>
    <t>Explique el funcionamiento de una cola como estructura de datos.</t>
  </si>
  <si>
    <t>Una pila sigue el principio LIFO: el último elemento insertado es el primero en retirarse. Las operaciones principales son push para insertar en la parte superior y pop para retirar desde ella. Un ejemplo es la pila de llamadas de un programa, donde la llamada más reciente debe finalizar antes de regresar a la anterior.</t>
  </si>
  <si>
    <t>Una cola sigue el principio FIFO: el primer elemento insertado es el primero en salir. Normalmente se agrega por un extremo y se retira por el otro. Por ejemplo, una cola de impresión procesa los trabajos aproximadamente en el orden en que fueron recibidos.</t>
  </si>
  <si>
    <t>IEE bajo aunque las respuestas tengan profundidad similar.</t>
  </si>
  <si>
    <t>PILOT-010</t>
  </si>
  <si>
    <t>Claves</t>
  </si>
  <si>
    <t>No equivalentes / ampliación del objetivo</t>
  </si>
  <si>
    <t>Explique qué es una clave primaria en una base de datos relacional.</t>
  </si>
  <si>
    <t>Compare una clave primaria con una clave foránea en una base de datos relacional.</t>
  </si>
  <si>
    <t>Una clave primaria es un atributo o conjunto de atributos que identifica de manera única cada fila de una tabla. Sus valores no deben duplicarse y normalmente no pueden ser nulos. Por ejemplo, un identificador de estudiante puede actuar como clave primaria si distingue a cada registro.</t>
  </si>
  <si>
    <t>Una clave primaria identifica de forma única las filas de su propia tabla. Una clave foránea, en cambio, contiene valores que hacen referencia a una clave candidata, normalmente primaria, de otra tabla o de la misma tabla. La primera contribuye a la identidad de los registros y la segunda permite representar relaciones entre ellos.</t>
  </si>
  <si>
    <t>IEE bajo/intermedio por ampliación del objetivo.</t>
  </si>
  <si>
    <t>PILOT-011</t>
  </si>
  <si>
    <t>Seguridad</t>
  </si>
  <si>
    <t>Hashing</t>
  </si>
  <si>
    <t>Equivalencia fuerte / respuesta A más profunda</t>
  </si>
  <si>
    <t>Explique qué es una función hash criptográfica y qué propiedades la hacen útil en seguridad.</t>
  </si>
  <si>
    <t>Describa el concepto de hash criptográfico y las propiedades que permiten utilizarlo en aplicaciones de seguridad.</t>
  </si>
  <si>
    <t>Una función hash criptográfica transforma datos de longitud arbitraria en un resumen de longitud fija. Para usos de seguridad se espera resistencia a preimagen, segunda preimagen y colisiones, además de un comportamiento donde pequeños cambios en la entrada alteren ampliamente el resultado. Estas propiedades permiten verificar integridad y participar en construcciones como firmas digitales, aunque un hash por sí solo no cifra la información.</t>
  </si>
  <si>
    <t>Un hash criptográfico convierte información en un valor de tamaño fijo. Debe ser difícil obtener el contenido original y también debe ser difícil encontrar dos entradas con el mismo resultado. Se usa para comprobar datos y en diferentes mecanismos de seguridad.</t>
  </si>
  <si>
    <t>IEE alto; A superior por precisión y desarrollo.</t>
  </si>
  <si>
    <t>PILOT-012</t>
  </si>
  <si>
    <t>Ingeniería de software</t>
  </si>
  <si>
    <t>Pruebas unitarias</t>
  </si>
  <si>
    <t>Equivalencia fuerte / B con ejemplos</t>
  </si>
  <si>
    <t>Explique cuál es el propósito de las pruebas unitarias durante el desarrollo de software.</t>
  </si>
  <si>
    <t>Describa para qué se utilizan las pruebas unitarias dentro de un proyecto de software.</t>
  </si>
  <si>
    <t>Las pruebas unitarias verifican de forma aislada unidades pequeñas de comportamiento, como funciones o métodos. Permiten detectar regresiones rápidamente porque una modificación que rompe un comportamiento previamente comprobado provoca un fallo reproducible. También favorecen refactorizaciones más seguras al ofrecer retroalimentación automática sobre contratos existentes.</t>
  </si>
  <si>
    <t>Las pruebas unitarias sirven para comprobar partes pequeñas del programa. Por ejemplo, se puede probar una función que suma números, una función que valida un correo o un método que calcula un descuento. Son muy utilizadas durante el desarrollo de software.</t>
  </si>
  <si>
    <t>A superior en causalidad; B superior en ejemplificación.</t>
  </si>
  <si>
    <t>PILOT-013</t>
  </si>
  <si>
    <t>Inteligencia artificial</t>
  </si>
  <si>
    <t>Sobreajuste</t>
  </si>
  <si>
    <t>Equivalencia fuerte / profundidad similar</t>
  </si>
  <si>
    <t>Explique qué es el sobreajuste en aprendizaje automático y por qué afecta la generalización.</t>
  </si>
  <si>
    <t>Describa el fenómeno de overfitting y su efecto sobre el desempeño de un modelo ante datos nuevos.</t>
  </si>
  <si>
    <t>El sobreajuste ocurre cuando un modelo aprende demasiado específicamente patrones y ruido del conjunto de entrenamiento. Como consecuencia puede obtener un error muy bajo sobre esos datos, pero fallar ante ejemplos no vistos porque las regularidades aprendidas no representan adecuadamente la distribución general. Técnicas como regularización, validación y mayor diversidad de datos ayudan a controlarlo.</t>
  </si>
  <si>
    <t>Overfitting describe una situación en la que el modelo se adapta en exceso a los datos utilizados para entrenarlo. El rendimiento de entrenamiento puede parecer excelente, pero al recibir datos nuevos disminuye porque parte de lo aprendido corresponde a particularidades del conjunto original y no a patrones generalizables.</t>
  </si>
  <si>
    <t>IPE similares; prueba de estabilidad.</t>
  </si>
  <si>
    <t>PILOT-014</t>
  </si>
  <si>
    <t>DNS</t>
  </si>
  <si>
    <t>Equivalencia fuerte / respuesta B extensa superficial</t>
  </si>
  <si>
    <t>Explique cómo DNS permite resolver nombres de dominio en direcciones IP.</t>
  </si>
  <si>
    <t>Describa el proceso mediante el cual el sistema DNS obtiene una dirección IP a partir de un nombre de dominio.</t>
  </si>
  <si>
    <t>DNS permite que un cliente consulte un nombre legible y obtenga el registro correspondiente. Habitualmente el equipo pregunta a un resolvedor recursivo, que puede responder desde caché o consultar servidores raíz, servidores del dominio de nivel superior y finalmente servidores autoritativos. El resultado puede almacenarse temporalmente según su TTL para reducir consultas posteriores.</t>
  </si>
  <si>
    <t>DNS es uno de los sistemas más importantes de Internet y ha sido utilizado durante muchos años. Los nombres de dominio son importantes porque las personas pueden recordarlos más fácilmente que los números. Internet tiene muchos servidores y existen diferentes tipos de dominios. Gracias a DNS es posible utilizar sitios web, servicios y muchas otras aplicaciones de una manera sencilla y conveniente.</t>
  </si>
  <si>
    <t>A debe superar ampliamente a B pese a longitud de B.</t>
  </si>
  <si>
    <t>PILOT-015</t>
  </si>
  <si>
    <t>Deadlock</t>
  </si>
  <si>
    <t>Equivalencia fuerte / causalidad</t>
  </si>
  <si>
    <t>Explique cómo puede producirse un interbloqueo entre procesos.</t>
  </si>
  <si>
    <t>Describa de qué manera surge una situación de deadlock entre procesos concurrentes.</t>
  </si>
  <si>
    <t>Un interbloqueo puede aparecer cuando varios procesos mantienen recursos mientras esperan otros retenidos por procesos del mismo conjunto. Por ejemplo, A posee R1 y espera R2, mientras B posee R2 y espera R1; ninguno puede continuar. Este escenario está asociado a condiciones como exclusión mutua, retención y espera, ausencia de expropiación y espera circular.</t>
  </si>
  <si>
    <t>Un deadlock ocurre cuando dos o más procesos quedan esperando recursos y ninguno puede avanzar. Puede suceder si cada proceso necesita algo que está siendo utilizado por otro proceso.</t>
  </si>
  <si>
    <t>A superior en causalidad y desarrollo.</t>
  </si>
  <si>
    <t>PILOT-016</t>
  </si>
  <si>
    <t>Complejidad</t>
  </si>
  <si>
    <t>No equivalentes / definición vs cálculo</t>
  </si>
  <si>
    <t>Explique qué representa la notación Big O en el análisis de algoritmos.</t>
  </si>
  <si>
    <t>Calcule la complejidad temporal Big O de un algoritmo que contiene dos ciclos anidados de tamaño n.</t>
  </si>
  <si>
    <t>Big O describe una cota asintótica del crecimiento de recursos, comúnmente tiempo o memoria, respecto del tamaño de entrada. Permite comparar tendencias de escalabilidad ignorando constantes y términos de menor orden. Por ejemplo, un algoritmo O(n²) crece cuadráticamente al aumentar n.</t>
  </si>
  <si>
    <t>Si ambos ciclos realizan aproximadamente n iteraciones y el ciclo interno se ejecuta por cada iteración del externo, se realizan alrededor de n por n operaciones. Por ello, la complejidad temporal es O(n²).</t>
  </si>
  <si>
    <t>IEE bajo: definición vs cálculo.</t>
  </si>
  <si>
    <t>PILOT-017</t>
  </si>
  <si>
    <t>Normalización</t>
  </si>
  <si>
    <t>Equivalencia fuerte / B corta profunda</t>
  </si>
  <si>
    <t>Explique en qué consiste la normalización de una base de datos relacional.</t>
  </si>
  <si>
    <t>Describa el propósito y funcionamiento general de la normalización en bases de datos relacionales.</t>
  </si>
  <si>
    <t>La normalización reorganiza relaciones para que cada hecho se represente de forma apropiada y las dependencias entre atributos queden reflejadas en el diseño. Al descomponer tablas según dependencias funcionales se reducen redundancias que pueden provocar anomalías de inserción, actualización y eliminación. El objetivo no es simplemente crear más tablas, sino preservar información y dependencias con una estructura más consistente.</t>
  </si>
  <si>
    <t>Normalizar consiste en estructurar las tablas para reducir redundancia y anomalías mediante formas normales y dependencias entre atributos; una buena descomposición busca conservar la información y evitar inconsistencias durante las modificaciones.</t>
  </si>
  <si>
    <t>B corta pero fuerte; diferencia no debería ser extrema.</t>
  </si>
  <si>
    <t>PILOT-018</t>
  </si>
  <si>
    <t>Web</t>
  </si>
  <si>
    <t>HTTP</t>
  </si>
  <si>
    <t>Equivalencia fuerte / aplicación</t>
  </si>
  <si>
    <t>Explique la diferencia entre los métodos HTTP GET y POST y cuándo suele utilizarse cada uno.</t>
  </si>
  <si>
    <t>Compare GET y POST en HTTP indicando sus diferencias principales y situaciones habituales de uso.</t>
  </si>
  <si>
    <t>GET se utiliza normalmente para solicitar una representación de un recurso y se espera que sea seguro respecto del estado del servidor; sus parámetros suelen formar parte de la URL. POST envía una representación al servidor para que sea procesada y puede provocar cambios de estado. Por ejemplo, consultar un catálogo suele usar GET, mientras crear un pedido puede usar POST. La elección depende de la semántica de la operación, no de que uno sea simplemente 'más seguro' que el otro.</t>
  </si>
  <si>
    <t>GET sirve para obtener información y POST para enviar información. GET suele mostrar parámetros en la URL y POST puede enviarlos en el cuerpo. Por ejemplo, una búsqueda puede usar GET y un formulario puede usar POST.</t>
  </si>
  <si>
    <t>A superior; B sigue siendo pertinente y aplicada.</t>
  </si>
  <si>
    <t>PILOT-019</t>
  </si>
  <si>
    <t>Autenticación y autorización</t>
  </si>
  <si>
    <t>No equivalentes / conceptos relacionados</t>
  </si>
  <si>
    <t>Explique qué es la autenticación en un sistema informático.</t>
  </si>
  <si>
    <t>Explique qué es la autorización en un sistema informático.</t>
  </si>
  <si>
    <t>La autenticación es el proceso mediante el cual un sistema verifica la identidad declarada de una entidad. Puede utilizar contraseñas, tokens, certificados o factores biométricos. Su resultado responde principalmente a quién es el usuario o si puede demostrar una identidad determinada.</t>
  </si>
  <si>
    <t>La autorización determina qué recursos u operaciones puede utilizar una entidad después de que su identidad o contexto han sido establecidos. Por ejemplo, dos usuarios autenticados pueden tener permisos distintos para leer o modificar un archivo.</t>
  </si>
  <si>
    <t>IEE bajo: conceptos relacionados pero distintos.</t>
  </si>
  <si>
    <t>PILOT-020</t>
  </si>
  <si>
    <t>Embeddings</t>
  </si>
  <si>
    <t>Equivalencia fuerte / respuesta con analogía</t>
  </si>
  <si>
    <t>Explique qué son los embeddings y por qué resultan útiles para representar texto.</t>
  </si>
  <si>
    <t>Describa cómo los embeddings representan información textual y qué utilidad tienen en tareas de procesamiento del lenguaje.</t>
  </si>
  <si>
    <t>Los embeddings representan elementos textuales mediante vectores numéricos aprendidos de modo que ciertas relaciones semánticas puedan reflejarse en el espacio vectorial. Textos relacionados pueden ocupar regiones cercanas según la representación utilizada. Esto permite realizar búsquedas semánticas, agrupamiento o proporcionar representaciones de entrada a otros modelos. No constituyen una comprensión perfecta del significado, sino una codificación útil para determinadas tareas.</t>
  </si>
  <si>
    <t>Un embedding es como colocar palabras o textos en un mapa numérico. Los elementos que tienen significados relacionados pueden quedar cerca unos de otros. Gracias a ello, una aplicación puede buscar textos parecidos por significado y no solamente porque compartan exactamente las mismas palabras.</t>
  </si>
  <si>
    <t>IPE relativamente cercanos; B más breve y analógica.</t>
  </si>
  <si>
    <t>PILOT-021</t>
  </si>
  <si>
    <t>Acoplamiento</t>
  </si>
  <si>
    <t>Equivalencia fuerte / A larga superficial vs B corta profunda</t>
  </si>
  <si>
    <t>Explique por qué un alto acoplamiento puede dificultar el mantenimiento de un sistema de software.</t>
  </si>
  <si>
    <t>Describa cómo el acoplamiento elevado afecta la mantenibilidad de un sistema de software.</t>
  </si>
  <si>
    <t>El acoplamiento es un tema muy importante en software. Los sistemas tienen módulos, clases, funciones y muchos componentes diferentes. Todos ellos pueden relacionarse entre sí de varias maneras. Cuando existe mucho acoplamiento, el sistema puede volverse más complejo y puede ser más difícil trabajar con él. Por eso los desarrolladores intentan hacer buenos diseños y seguir principios de ingeniería para producir programas de mayor calidad y facilitar el mantenimiento futuro.</t>
  </si>
  <si>
    <t>Un acoplamiento elevado propaga el impacto de los cambios: modificar la interfaz o comportamiento de un módulo obliga a revisar múltiples dependientes. Esto aumenta el costo de pruebas y el riesgo de regresiones, porque componentes que conceptualmente deberían evolucionar por separado terminan condicionándose entre sí.</t>
  </si>
  <si>
    <t>B debe superar a A aunque A sea más larga.</t>
  </si>
  <si>
    <t>PILOT-022</t>
  </si>
  <si>
    <t>Ordenamiento</t>
  </si>
  <si>
    <t>Equivalencia parcial / mecanismo vs comparación</t>
  </si>
  <si>
    <t>Explique cómo funciona el algoritmo merge sort.</t>
  </si>
  <si>
    <t>Compare merge sort con quicksort en términos generales.</t>
  </si>
  <si>
    <t>Merge sort divide recursivamente la colección hasta obtener partes pequeñas y luego combina las partes ordenadas mediante un proceso de mezcla. Su costo temporal típico es O(n log n) y la implementación clásica requiere memoria auxiliar para la mezcla.</t>
  </si>
  <si>
    <t>Merge sort y quicksort son algoritmos de ordenamiento con comportamiento promedio eficiente. Merge sort divide y mezcla, mientras quicksort particiona alrededor de un pivote. Merge sort mantiene O(n log n) en el peor caso típico, mientras quicksort puede degradarse a O(n²) según las particiones; también difieren en uso de memoria y estabilidad.</t>
  </si>
  <si>
    <t>IEE bajo/intermedio: mecanismo vs comparación.</t>
  </si>
  <si>
    <t>PILOT-023</t>
  </si>
  <si>
    <t>NAT</t>
  </si>
  <si>
    <t>Equivalencia fuerte / ausencia legítima de ejemplo</t>
  </si>
  <si>
    <t>Explique qué función cumple NAT en una red IPv4.</t>
  </si>
  <si>
    <t>Describa el propósito de la traducción de direcciones de red (NAT) en IPv4.</t>
  </si>
  <si>
    <t>NAT modifica información de direccionamiento al atravesar un dispositivo de traducción, permitiendo que direcciones privadas internas se representen mediante una o más direcciones públicas. Con traducción de puertos, múltiples conexiones internas pueden compartir una dirección pública distinguiéndose mediante puertos. Esto contribuyó a reducir el consumo de direcciones IPv4 públicas, aunque también altera el modelo extremo a extremo y no debe confundirse con un mecanismo de seguridad completo.</t>
  </si>
  <si>
    <t>NAT traduce direcciones entre una red interna y una red externa. En IPv4 permite que equipos con direcciones privadas puedan comunicarse hacia Internet utilizando direcciones públicas y ayuda a conservar el espacio limitado de direcciones.</t>
  </si>
  <si>
    <t>Ambas válidas; ausencia de ejemplo no debería destruir IPE.</t>
  </si>
  <si>
    <t>PILOT-024</t>
  </si>
  <si>
    <t>Sistemas distribuidos</t>
  </si>
  <si>
    <t>Consistencia</t>
  </si>
  <si>
    <t>Equivalencia fuerte / dos respuestas igualmente profundas</t>
  </si>
  <si>
    <t>Explique qué significa consistencia eventual en un sistema distribuido.</t>
  </si>
  <si>
    <t>Describa el concepto de consistencia eventual aplicado a sistemas distribuidos.</t>
  </si>
  <si>
    <t>La consistencia eventual permite que distintas réplicas presenten temporalmente valores diferentes después de una actualización, pero establece que, si dejan de ocurrir nuevas modificaciones y la comunicación continúa, las réplicas convergerán hacia un estado común. Este modelo favorece disponibilidad y operación distribuida en ciertos escenarios, a cambio de aceptar lecturas temporalmente desactualizadas.</t>
  </si>
  <si>
    <t>En un sistema con consistencia eventual, una escritura no tiene que hacerse visible inmediatamente en todas las réplicas. Durante un intervalo pueden observarse estados diferentes; sin embargo, en ausencia de nuevas actualizaciones, la propagación termina haciendo que las copias converjan. Por ello se acepta inconsistencia temporal a cambio de otras propiedades operativas.</t>
  </si>
  <si>
    <t>IPE muy similares y ΔIPE pequeño.</t>
  </si>
  <si>
    <t>IEE LCT</t>
  </si>
  <si>
    <t>Dif IEE</t>
  </si>
  <si>
    <t>IPE A LCT</t>
  </si>
  <si>
    <t>Dif A</t>
  </si>
  <si>
    <t>IPE B LCT</t>
  </si>
  <si>
    <t>Dif B</t>
  </si>
  <si>
    <t>ΔIPE LCT</t>
  </si>
  <si>
    <t>Dif Δ</t>
  </si>
  <si>
    <t>|ΔIPE| LCT</t>
  </si>
  <si>
    <t>Observación</t>
  </si>
  <si>
    <t>NOTA</t>
  </si>
  <si>
    <t>IEE</t>
  </si>
  <si>
    <t>Cada dimensión se puntúa 0-4; IEE = suma/20 × 100.</t>
  </si>
  <si>
    <t>0 significado distinto; 4 mismo significado conceptual.</t>
  </si>
  <si>
    <t>0 tareas diferentes; 4 mismo objetivo.</t>
  </si>
  <si>
    <t>0 nivel cognitivo diferente; 4 equivalente.</t>
  </si>
  <si>
    <t>0 alcance diferente; 4 mismo alcance.</t>
  </si>
  <si>
    <t>0 reformulación altera la tarea; 4 solo cambia formulación.</t>
  </si>
  <si>
    <t>IPE</t>
  </si>
  <si>
    <t>Cada dimensión se puntúa 0-4; IPE = suma/16 × 100.</t>
  </si>
  <si>
    <t>IPE Definición</t>
  </si>
  <si>
    <t>0 ausente; 1 mínima; 2 básica; 3 clara/adecuada; 4 precisa, amplia e integrada.</t>
  </si>
  <si>
    <t>IPE Causalidad</t>
  </si>
  <si>
    <t>0 ausente; 1 superficial; 2 básica; 3 clara/desarrollada; 4 profunda e integrada.</t>
  </si>
  <si>
    <t>IPE Ejemplificación</t>
  </si>
  <si>
    <t>0 ausente; 1 débil; 2 básica; 3 clara/pertinente; 4 altamente pertinente e integrada.</t>
  </si>
  <si>
    <t>IPE Aplicación</t>
  </si>
  <si>
    <t>0 ausente; 1 mínima; 2 básica; 3 clara/contextualizada; 4 desarrollada e integrada.</t>
  </si>
  <si>
    <t>ΔIPE</t>
  </si>
  <si>
    <t>IPE A - IPE B. El signo indica dirección; |ΔIPE| expresa magnitud.</t>
  </si>
  <si>
    <t>Las puntuaciones de referencia son una valoración y estrucura de calificación de prueba, no constituyen verdad ni datos oficiales.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</si>
</sst>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color rgb="FF1F1F1F"/>
      <name val="Carlito"/>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top" wrapText="1"/>
    </xf>
    <xf numFmtId="0" fontId="0" fillId="0" borderId="0" xfId="0" applyAlignment="1">
      <alignment vertical="top"/>
    </xf>
    <xf numFmtId="0" fontId="0" fillId="0" borderId="0" xfId="0" applyAlignment="1">
      <alignment vertical="top" wrapText="1"/>
    </xf>
    <xf numFmtId="0" fontId="0" fillId="3" borderId="0" xfId="0" applyFill="1"/>
    <xf numFmtId="0" fontId="2" fillId="4" borderId="0" xfId="0" applyFont="1" applyFill="1" applyAlignment="1">
      <alignment vertical="top"/>
    </xf>
    <xf numFmtId="0" fontId="2" fillId="4" borderId="0" xfId="0" applyFont="1"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5"/>
  <sheetViews>
    <sheetView topLeftCell="E15" zoomScale="74" workbookViewId="0">
      <selection activeCell="AA2" sqref="AA2"/>
    </sheetView>
  </sheetViews>
  <sheetFormatPr defaultRowHeight="14.25"/>
  <cols>
    <col min="1" max="1" width="14" customWidth="1"/>
    <col min="2" max="2" width="20" customWidth="1"/>
    <col min="3" max="3" width="22" customWidth="1"/>
    <col min="4" max="4" width="34" customWidth="1"/>
    <col min="5" max="6" width="42" customWidth="1"/>
    <col min="7" max="8" width="55" customWidth="1"/>
    <col min="9" max="13" width="12" customWidth="1"/>
    <col min="14" max="14" width="13" customWidth="1"/>
    <col min="15" max="18" width="12" customWidth="1"/>
    <col min="19" max="19" width="13" customWidth="1"/>
    <col min="20" max="23" width="12" customWidth="1"/>
    <col min="24" max="26" width="13" customWidth="1"/>
    <col min="27" max="27" width="42" customWidth="1"/>
  </cols>
  <sheetData>
    <row r="1" spans="1:27" ht="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ht="99.75">
      <c r="A2" s="3" t="s">
        <v>27</v>
      </c>
      <c r="B2" s="3" t="s">
        <v>28</v>
      </c>
      <c r="C2" s="3" t="s">
        <v>29</v>
      </c>
      <c r="D2" s="4" t="s">
        <v>30</v>
      </c>
      <c r="E2" s="4" t="s">
        <v>31</v>
      </c>
      <c r="F2" s="4" t="s">
        <v>32</v>
      </c>
      <c r="G2" s="4" t="s">
        <v>33</v>
      </c>
      <c r="H2" s="4" t="s">
        <v>34</v>
      </c>
      <c r="I2" s="3">
        <v>4</v>
      </c>
      <c r="J2" s="3">
        <v>4</v>
      </c>
      <c r="K2" s="3">
        <v>4</v>
      </c>
      <c r="L2" s="3">
        <v>4</v>
      </c>
      <c r="M2" s="3">
        <v>4</v>
      </c>
      <c r="N2" s="3">
        <f t="shared" ref="N2:N25" si="0">SUM(I2:M2)/20*100</f>
        <v>100</v>
      </c>
      <c r="O2" s="3">
        <v>3</v>
      </c>
      <c r="P2" s="3">
        <v>3</v>
      </c>
      <c r="Q2" s="3">
        <v>3</v>
      </c>
      <c r="R2" s="3">
        <v>3</v>
      </c>
      <c r="S2" s="3">
        <f t="shared" ref="S2:S25" si="1">SUM(O2:R2)/16*100</f>
        <v>75</v>
      </c>
      <c r="T2" s="3">
        <v>2</v>
      </c>
      <c r="U2" s="3">
        <v>1</v>
      </c>
      <c r="V2" s="3">
        <v>0</v>
      </c>
      <c r="W2" s="3">
        <v>1</v>
      </c>
      <c r="X2" s="3">
        <f t="shared" ref="X2:X25" si="2">SUM(T2:W2)/16*100</f>
        <v>25</v>
      </c>
      <c r="Y2" s="3">
        <f t="shared" ref="Y2:Y25" si="3">S2-X2</f>
        <v>50</v>
      </c>
      <c r="Z2" s="3">
        <f t="shared" ref="Z2:Z25" si="4">ABS(Y2)</f>
        <v>50</v>
      </c>
      <c r="AA2" s="4" t="s">
        <v>35</v>
      </c>
    </row>
    <row r="3" spans="1:27" ht="99.75">
      <c r="A3" s="3" t="s">
        <v>36</v>
      </c>
      <c r="B3" s="3" t="s">
        <v>37</v>
      </c>
      <c r="C3" s="3" t="s">
        <v>38</v>
      </c>
      <c r="D3" s="4" t="s">
        <v>39</v>
      </c>
      <c r="E3" s="4" t="s">
        <v>40</v>
      </c>
      <c r="F3" s="4" t="s">
        <v>41</v>
      </c>
      <c r="G3" s="4" t="s">
        <v>42</v>
      </c>
      <c r="H3" s="4" t="s">
        <v>43</v>
      </c>
      <c r="I3" s="3">
        <v>4</v>
      </c>
      <c r="J3" s="3">
        <v>4</v>
      </c>
      <c r="K3" s="3">
        <v>4</v>
      </c>
      <c r="L3" s="3">
        <v>4</v>
      </c>
      <c r="M3" s="3">
        <v>4</v>
      </c>
      <c r="N3" s="3">
        <f t="shared" si="0"/>
        <v>100</v>
      </c>
      <c r="O3" s="3">
        <v>3</v>
      </c>
      <c r="P3" s="3">
        <v>4</v>
      </c>
      <c r="Q3" s="3">
        <v>3</v>
      </c>
      <c r="R3" s="3">
        <v>3</v>
      </c>
      <c r="S3" s="3">
        <f t="shared" si="1"/>
        <v>81.25</v>
      </c>
      <c r="T3" s="3">
        <v>2</v>
      </c>
      <c r="U3" s="3">
        <v>1</v>
      </c>
      <c r="V3" s="3">
        <v>1</v>
      </c>
      <c r="W3" s="3">
        <v>1</v>
      </c>
      <c r="X3" s="3">
        <f t="shared" si="2"/>
        <v>31.25</v>
      </c>
      <c r="Y3" s="3">
        <f t="shared" si="3"/>
        <v>50</v>
      </c>
      <c r="Z3" s="3">
        <f t="shared" si="4"/>
        <v>50</v>
      </c>
      <c r="AA3" s="4" t="s">
        <v>44</v>
      </c>
    </row>
    <row r="4" spans="1:27" ht="99.75">
      <c r="A4" s="3" t="s">
        <v>45</v>
      </c>
      <c r="B4" s="3" t="s">
        <v>28</v>
      </c>
      <c r="C4" s="3" t="s">
        <v>46</v>
      </c>
      <c r="D4" s="4" t="s">
        <v>47</v>
      </c>
      <c r="E4" s="4" t="s">
        <v>48</v>
      </c>
      <c r="F4" s="4" t="s">
        <v>49</v>
      </c>
      <c r="G4" s="4" t="s">
        <v>50</v>
      </c>
      <c r="H4" s="4" t="s">
        <v>51</v>
      </c>
      <c r="I4" s="3">
        <v>4</v>
      </c>
      <c r="J4" s="3">
        <v>4</v>
      </c>
      <c r="K4" s="3">
        <v>4</v>
      </c>
      <c r="L4" s="3">
        <v>4</v>
      </c>
      <c r="M4" s="3">
        <v>4</v>
      </c>
      <c r="N4" s="3">
        <f t="shared" si="0"/>
        <v>100</v>
      </c>
      <c r="O4" s="3">
        <v>3</v>
      </c>
      <c r="P4" s="3">
        <v>4</v>
      </c>
      <c r="Q4" s="3">
        <v>1</v>
      </c>
      <c r="R4" s="3">
        <v>2</v>
      </c>
      <c r="S4" s="3">
        <f t="shared" si="1"/>
        <v>62.5</v>
      </c>
      <c r="T4" s="3">
        <v>3</v>
      </c>
      <c r="U4" s="3">
        <v>4</v>
      </c>
      <c r="V4" s="3">
        <v>1</v>
      </c>
      <c r="W4" s="3">
        <v>2</v>
      </c>
      <c r="X4" s="3">
        <f t="shared" si="2"/>
        <v>62.5</v>
      </c>
      <c r="Y4" s="3">
        <f t="shared" si="3"/>
        <v>0</v>
      </c>
      <c r="Z4" s="3">
        <f t="shared" si="4"/>
        <v>0</v>
      </c>
      <c r="AA4" s="4" t="s">
        <v>52</v>
      </c>
    </row>
    <row r="5" spans="1:27" ht="114">
      <c r="A5" s="3" t="s">
        <v>53</v>
      </c>
      <c r="B5" s="3" t="s">
        <v>54</v>
      </c>
      <c r="C5" s="3" t="s">
        <v>55</v>
      </c>
      <c r="D5" s="4" t="s">
        <v>56</v>
      </c>
      <c r="E5" s="4" t="s">
        <v>57</v>
      </c>
      <c r="F5" s="4" t="s">
        <v>58</v>
      </c>
      <c r="G5" s="4" t="s">
        <v>59</v>
      </c>
      <c r="H5" s="4" t="s">
        <v>60</v>
      </c>
      <c r="I5" s="3">
        <v>4</v>
      </c>
      <c r="J5" s="3">
        <v>4</v>
      </c>
      <c r="K5" s="3">
        <v>4</v>
      </c>
      <c r="L5" s="3">
        <v>4</v>
      </c>
      <c r="M5" s="3">
        <v>4</v>
      </c>
      <c r="N5" s="3">
        <f t="shared" si="0"/>
        <v>100</v>
      </c>
      <c r="O5" s="3">
        <v>4</v>
      </c>
      <c r="P5" s="3">
        <v>4</v>
      </c>
      <c r="Q5" s="3">
        <v>2</v>
      </c>
      <c r="R5" s="3">
        <v>3</v>
      </c>
      <c r="S5" s="3">
        <f t="shared" si="1"/>
        <v>81.25</v>
      </c>
      <c r="T5" s="3">
        <v>2</v>
      </c>
      <c r="U5" s="3">
        <v>1</v>
      </c>
      <c r="V5" s="3">
        <v>0</v>
      </c>
      <c r="W5" s="3">
        <v>1</v>
      </c>
      <c r="X5" s="3">
        <f t="shared" si="2"/>
        <v>25</v>
      </c>
      <c r="Y5" s="3">
        <f t="shared" si="3"/>
        <v>56.25</v>
      </c>
      <c r="Z5" s="3">
        <f t="shared" si="4"/>
        <v>56.25</v>
      </c>
      <c r="AA5" s="4" t="s">
        <v>61</v>
      </c>
    </row>
    <row r="6" spans="1:27" ht="85.5">
      <c r="A6" s="3" t="s">
        <v>62</v>
      </c>
      <c r="B6" s="3" t="s">
        <v>63</v>
      </c>
      <c r="C6" s="3" t="s">
        <v>64</v>
      </c>
      <c r="D6" s="4" t="s">
        <v>65</v>
      </c>
      <c r="E6" s="4" t="s">
        <v>66</v>
      </c>
      <c r="F6" s="4" t="s">
        <v>67</v>
      </c>
      <c r="G6" s="4" t="s">
        <v>68</v>
      </c>
      <c r="H6" s="4" t="s">
        <v>69</v>
      </c>
      <c r="I6" s="3">
        <v>4</v>
      </c>
      <c r="J6" s="3">
        <v>4</v>
      </c>
      <c r="K6" s="3">
        <v>4</v>
      </c>
      <c r="L6" s="3">
        <v>4</v>
      </c>
      <c r="M6" s="3">
        <v>4</v>
      </c>
      <c r="N6" s="3">
        <f t="shared" si="0"/>
        <v>100</v>
      </c>
      <c r="O6" s="3">
        <v>4</v>
      </c>
      <c r="P6" s="3">
        <v>3</v>
      </c>
      <c r="Q6" s="3">
        <v>4</v>
      </c>
      <c r="R6" s="3">
        <v>3</v>
      </c>
      <c r="S6" s="3">
        <f t="shared" si="1"/>
        <v>87.5</v>
      </c>
      <c r="T6" s="3">
        <v>3</v>
      </c>
      <c r="U6" s="3">
        <v>2</v>
      </c>
      <c r="V6" s="3">
        <v>3</v>
      </c>
      <c r="W6" s="3">
        <v>2</v>
      </c>
      <c r="X6" s="3">
        <f t="shared" si="2"/>
        <v>62.5</v>
      </c>
      <c r="Y6" s="3">
        <f t="shared" si="3"/>
        <v>25</v>
      </c>
      <c r="Z6" s="3">
        <f t="shared" si="4"/>
        <v>25</v>
      </c>
      <c r="AA6" s="4" t="s">
        <v>70</v>
      </c>
    </row>
    <row r="7" spans="1:27" ht="85.5">
      <c r="A7" s="3" t="s">
        <v>71</v>
      </c>
      <c r="B7" s="3" t="s">
        <v>72</v>
      </c>
      <c r="C7" s="3" t="s">
        <v>73</v>
      </c>
      <c r="D7" s="4" t="s">
        <v>74</v>
      </c>
      <c r="E7" s="4" t="s">
        <v>75</v>
      </c>
      <c r="F7" s="4" t="s">
        <v>76</v>
      </c>
      <c r="G7" s="4" t="s">
        <v>77</v>
      </c>
      <c r="H7" s="4" t="s">
        <v>78</v>
      </c>
      <c r="I7" s="3">
        <v>4</v>
      </c>
      <c r="J7" s="3">
        <v>3</v>
      </c>
      <c r="K7" s="3">
        <v>4</v>
      </c>
      <c r="L7" s="3">
        <v>3</v>
      </c>
      <c r="M7" s="3">
        <v>3</v>
      </c>
      <c r="N7" s="3">
        <f t="shared" si="0"/>
        <v>85</v>
      </c>
      <c r="O7" s="3">
        <v>4</v>
      </c>
      <c r="P7" s="3">
        <v>4</v>
      </c>
      <c r="Q7" s="3">
        <v>1</v>
      </c>
      <c r="R7" s="3">
        <v>2</v>
      </c>
      <c r="S7" s="3">
        <f t="shared" si="1"/>
        <v>68.75</v>
      </c>
      <c r="T7" s="3">
        <v>3</v>
      </c>
      <c r="U7" s="3">
        <v>3</v>
      </c>
      <c r="V7" s="3">
        <v>1</v>
      </c>
      <c r="W7" s="3">
        <v>2</v>
      </c>
      <c r="X7" s="3">
        <f t="shared" si="2"/>
        <v>56.25</v>
      </c>
      <c r="Y7" s="3">
        <f t="shared" si="3"/>
        <v>12.5</v>
      </c>
      <c r="Z7" s="3">
        <f t="shared" si="4"/>
        <v>12.5</v>
      </c>
      <c r="AA7" s="4" t="s">
        <v>79</v>
      </c>
    </row>
    <row r="8" spans="1:27" ht="85.5">
      <c r="A8" s="3" t="s">
        <v>80</v>
      </c>
      <c r="B8" s="3" t="s">
        <v>28</v>
      </c>
      <c r="C8" s="3" t="s">
        <v>81</v>
      </c>
      <c r="D8" s="4" t="s">
        <v>82</v>
      </c>
      <c r="E8" s="4" t="s">
        <v>83</v>
      </c>
      <c r="F8" s="4" t="s">
        <v>84</v>
      </c>
      <c r="G8" s="4" t="s">
        <v>85</v>
      </c>
      <c r="H8" s="4" t="s">
        <v>86</v>
      </c>
      <c r="I8" s="3">
        <v>2</v>
      </c>
      <c r="J8" s="3">
        <v>0</v>
      </c>
      <c r="K8" s="3">
        <v>1</v>
      </c>
      <c r="L8" s="3">
        <v>1</v>
      </c>
      <c r="M8" s="3">
        <v>0</v>
      </c>
      <c r="N8" s="3">
        <f t="shared" si="0"/>
        <v>20</v>
      </c>
      <c r="O8" s="3">
        <v>4</v>
      </c>
      <c r="P8" s="3">
        <v>3</v>
      </c>
      <c r="Q8" s="3">
        <v>2</v>
      </c>
      <c r="R8" s="3">
        <v>3</v>
      </c>
      <c r="S8" s="3">
        <f t="shared" si="1"/>
        <v>75</v>
      </c>
      <c r="T8" s="3">
        <v>2</v>
      </c>
      <c r="U8" s="3">
        <v>0</v>
      </c>
      <c r="V8" s="3">
        <v>0</v>
      </c>
      <c r="W8" s="3">
        <v>0</v>
      </c>
      <c r="X8" s="3">
        <f t="shared" si="2"/>
        <v>12.5</v>
      </c>
      <c r="Y8" s="3">
        <f t="shared" si="3"/>
        <v>62.5</v>
      </c>
      <c r="Z8" s="3">
        <f t="shared" si="4"/>
        <v>62.5</v>
      </c>
      <c r="AA8" s="4" t="s">
        <v>87</v>
      </c>
    </row>
    <row r="9" spans="1:27" ht="99.75">
      <c r="A9" s="3" t="s">
        <v>88</v>
      </c>
      <c r="B9" s="3" t="s">
        <v>89</v>
      </c>
      <c r="C9" s="3" t="s">
        <v>90</v>
      </c>
      <c r="D9" s="4" t="s">
        <v>82</v>
      </c>
      <c r="E9" s="4" t="s">
        <v>91</v>
      </c>
      <c r="F9" s="4" t="s">
        <v>92</v>
      </c>
      <c r="G9" s="4" t="s">
        <v>93</v>
      </c>
      <c r="H9" s="4" t="s">
        <v>94</v>
      </c>
      <c r="I9" s="3">
        <v>4</v>
      </c>
      <c r="J9" s="3">
        <v>2</v>
      </c>
      <c r="K9" s="3">
        <v>2</v>
      </c>
      <c r="L9" s="3">
        <v>3</v>
      </c>
      <c r="M9" s="3">
        <v>2</v>
      </c>
      <c r="N9" s="3">
        <f t="shared" si="0"/>
        <v>65</v>
      </c>
      <c r="O9" s="3">
        <v>4</v>
      </c>
      <c r="P9" s="3">
        <v>4</v>
      </c>
      <c r="Q9" s="3">
        <v>3</v>
      </c>
      <c r="R9" s="3">
        <v>3</v>
      </c>
      <c r="S9" s="3">
        <f t="shared" si="1"/>
        <v>87.5</v>
      </c>
      <c r="T9" s="3">
        <v>3</v>
      </c>
      <c r="U9" s="3">
        <v>2</v>
      </c>
      <c r="V9" s="3">
        <v>1</v>
      </c>
      <c r="W9" s="3">
        <v>1</v>
      </c>
      <c r="X9" s="3">
        <f t="shared" si="2"/>
        <v>43.75</v>
      </c>
      <c r="Y9" s="3">
        <f t="shared" si="3"/>
        <v>43.75</v>
      </c>
      <c r="Z9" s="3">
        <f t="shared" si="4"/>
        <v>43.75</v>
      </c>
      <c r="AA9" s="4" t="s">
        <v>95</v>
      </c>
    </row>
    <row r="10" spans="1:27" ht="71.25">
      <c r="A10" s="3" t="s">
        <v>96</v>
      </c>
      <c r="B10" s="3" t="s">
        <v>97</v>
      </c>
      <c r="C10" s="3" t="s">
        <v>98</v>
      </c>
      <c r="D10" s="4" t="s">
        <v>99</v>
      </c>
      <c r="E10" s="4" t="s">
        <v>100</v>
      </c>
      <c r="F10" s="4" t="s">
        <v>101</v>
      </c>
      <c r="G10" s="4" t="s">
        <v>102</v>
      </c>
      <c r="H10" s="4" t="s">
        <v>103</v>
      </c>
      <c r="I10" s="3">
        <v>1</v>
      </c>
      <c r="J10" s="3">
        <v>1</v>
      </c>
      <c r="K10" s="3">
        <v>4</v>
      </c>
      <c r="L10" s="3">
        <v>1</v>
      </c>
      <c r="M10" s="3">
        <v>0</v>
      </c>
      <c r="N10" s="3">
        <f t="shared" si="0"/>
        <v>35</v>
      </c>
      <c r="O10" s="3">
        <v>4</v>
      </c>
      <c r="P10" s="3">
        <v>3</v>
      </c>
      <c r="Q10" s="3">
        <v>4</v>
      </c>
      <c r="R10" s="3">
        <v>3</v>
      </c>
      <c r="S10" s="3">
        <f t="shared" si="1"/>
        <v>87.5</v>
      </c>
      <c r="T10" s="3">
        <v>4</v>
      </c>
      <c r="U10" s="3">
        <v>3</v>
      </c>
      <c r="V10" s="3">
        <v>4</v>
      </c>
      <c r="W10" s="3">
        <v>3</v>
      </c>
      <c r="X10" s="3">
        <f t="shared" si="2"/>
        <v>87.5</v>
      </c>
      <c r="Y10" s="3">
        <f t="shared" si="3"/>
        <v>0</v>
      </c>
      <c r="Z10" s="3">
        <f t="shared" si="4"/>
        <v>0</v>
      </c>
      <c r="AA10" s="4" t="s">
        <v>104</v>
      </c>
    </row>
    <row r="11" spans="1:27" ht="85.5">
      <c r="A11" s="3" t="s">
        <v>105</v>
      </c>
      <c r="B11" s="3" t="s">
        <v>37</v>
      </c>
      <c r="C11" s="3" t="s">
        <v>106</v>
      </c>
      <c r="D11" s="4" t="s">
        <v>107</v>
      </c>
      <c r="E11" s="4" t="s">
        <v>108</v>
      </c>
      <c r="F11" s="4" t="s">
        <v>109</v>
      </c>
      <c r="G11" s="4" t="s">
        <v>110</v>
      </c>
      <c r="H11" s="4" t="s">
        <v>111</v>
      </c>
      <c r="I11" s="3">
        <v>3</v>
      </c>
      <c r="J11" s="3">
        <v>1</v>
      </c>
      <c r="K11" s="3">
        <v>2</v>
      </c>
      <c r="L11" s="3">
        <v>2</v>
      </c>
      <c r="M11" s="3">
        <v>1</v>
      </c>
      <c r="N11" s="3">
        <f t="shared" si="0"/>
        <v>45</v>
      </c>
      <c r="O11" s="3">
        <v>4</v>
      </c>
      <c r="P11" s="3">
        <v>2</v>
      </c>
      <c r="Q11" s="3">
        <v>4</v>
      </c>
      <c r="R11" s="3">
        <v>3</v>
      </c>
      <c r="S11" s="3">
        <f t="shared" si="1"/>
        <v>81.25</v>
      </c>
      <c r="T11" s="3">
        <v>4</v>
      </c>
      <c r="U11" s="3">
        <v>4</v>
      </c>
      <c r="V11" s="3">
        <v>2</v>
      </c>
      <c r="W11" s="3">
        <v>3</v>
      </c>
      <c r="X11" s="3">
        <f t="shared" si="2"/>
        <v>81.25</v>
      </c>
      <c r="Y11" s="3">
        <f t="shared" si="3"/>
        <v>0</v>
      </c>
      <c r="Z11" s="3">
        <f t="shared" si="4"/>
        <v>0</v>
      </c>
      <c r="AA11" s="4" t="s">
        <v>112</v>
      </c>
    </row>
    <row r="12" spans="1:27" ht="114">
      <c r="A12" s="3" t="s">
        <v>113</v>
      </c>
      <c r="B12" s="3" t="s">
        <v>114</v>
      </c>
      <c r="C12" s="3" t="s">
        <v>115</v>
      </c>
      <c r="D12" s="4" t="s">
        <v>116</v>
      </c>
      <c r="E12" s="4" t="s">
        <v>117</v>
      </c>
      <c r="F12" s="4" t="s">
        <v>118</v>
      </c>
      <c r="G12" s="4" t="s">
        <v>119</v>
      </c>
      <c r="H12" s="4" t="s">
        <v>120</v>
      </c>
      <c r="I12" s="3">
        <v>4</v>
      </c>
      <c r="J12" s="3">
        <v>4</v>
      </c>
      <c r="K12" s="3">
        <v>4</v>
      </c>
      <c r="L12" s="3">
        <v>4</v>
      </c>
      <c r="M12" s="3">
        <v>4</v>
      </c>
      <c r="N12" s="3">
        <f t="shared" si="0"/>
        <v>100</v>
      </c>
      <c r="O12" s="3">
        <v>4</v>
      </c>
      <c r="P12" s="3">
        <v>4</v>
      </c>
      <c r="Q12" s="3">
        <v>3</v>
      </c>
      <c r="R12" s="3">
        <v>4</v>
      </c>
      <c r="S12" s="3">
        <f t="shared" si="1"/>
        <v>93.75</v>
      </c>
      <c r="T12" s="3">
        <v>3</v>
      </c>
      <c r="U12" s="3">
        <v>3</v>
      </c>
      <c r="V12" s="3">
        <v>1</v>
      </c>
      <c r="W12" s="3">
        <v>2</v>
      </c>
      <c r="X12" s="3">
        <f t="shared" si="2"/>
        <v>56.25</v>
      </c>
      <c r="Y12" s="3">
        <f t="shared" si="3"/>
        <v>37.5</v>
      </c>
      <c r="Z12" s="3">
        <f t="shared" si="4"/>
        <v>37.5</v>
      </c>
      <c r="AA12" s="4" t="s">
        <v>121</v>
      </c>
    </row>
    <row r="13" spans="1:27" ht="99.75">
      <c r="A13" s="3" t="s">
        <v>122</v>
      </c>
      <c r="B13" s="3" t="s">
        <v>123</v>
      </c>
      <c r="C13" s="3" t="s">
        <v>124</v>
      </c>
      <c r="D13" s="4" t="s">
        <v>125</v>
      </c>
      <c r="E13" s="4" t="s">
        <v>126</v>
      </c>
      <c r="F13" s="4" t="s">
        <v>127</v>
      </c>
      <c r="G13" s="4" t="s">
        <v>128</v>
      </c>
      <c r="H13" s="4" t="s">
        <v>129</v>
      </c>
      <c r="I13" s="3">
        <v>4</v>
      </c>
      <c r="J13" s="3">
        <v>4</v>
      </c>
      <c r="K13" s="3">
        <v>4</v>
      </c>
      <c r="L13" s="3">
        <v>4</v>
      </c>
      <c r="M13" s="3">
        <v>4</v>
      </c>
      <c r="N13" s="3">
        <f t="shared" si="0"/>
        <v>100</v>
      </c>
      <c r="O13" s="3">
        <v>4</v>
      </c>
      <c r="P13" s="3">
        <v>4</v>
      </c>
      <c r="Q13" s="3">
        <v>1</v>
      </c>
      <c r="R13" s="3">
        <v>4</v>
      </c>
      <c r="S13" s="3">
        <f t="shared" si="1"/>
        <v>81.25</v>
      </c>
      <c r="T13" s="3">
        <v>3</v>
      </c>
      <c r="U13" s="3">
        <v>1</v>
      </c>
      <c r="V13" s="3">
        <v>4</v>
      </c>
      <c r="W13" s="3">
        <v>2</v>
      </c>
      <c r="X13" s="3">
        <f t="shared" si="2"/>
        <v>62.5</v>
      </c>
      <c r="Y13" s="3">
        <f t="shared" si="3"/>
        <v>18.75</v>
      </c>
      <c r="Z13" s="3">
        <f t="shared" si="4"/>
        <v>18.75</v>
      </c>
      <c r="AA13" s="4" t="s">
        <v>130</v>
      </c>
    </row>
    <row r="14" spans="1:27" ht="99.75">
      <c r="A14" s="3" t="s">
        <v>131</v>
      </c>
      <c r="B14" s="3" t="s">
        <v>132</v>
      </c>
      <c r="C14" s="3" t="s">
        <v>133</v>
      </c>
      <c r="D14" s="4" t="s">
        <v>134</v>
      </c>
      <c r="E14" s="4" t="s">
        <v>135</v>
      </c>
      <c r="F14" s="4" t="s">
        <v>136</v>
      </c>
      <c r="G14" s="4" t="s">
        <v>137</v>
      </c>
      <c r="H14" s="4" t="s">
        <v>138</v>
      </c>
      <c r="I14" s="3">
        <v>4</v>
      </c>
      <c r="J14" s="3">
        <v>4</v>
      </c>
      <c r="K14" s="3">
        <v>4</v>
      </c>
      <c r="L14" s="3">
        <v>4</v>
      </c>
      <c r="M14" s="3">
        <v>4</v>
      </c>
      <c r="N14" s="3">
        <f t="shared" si="0"/>
        <v>100</v>
      </c>
      <c r="O14" s="3">
        <v>4</v>
      </c>
      <c r="P14" s="3">
        <v>4</v>
      </c>
      <c r="Q14" s="3">
        <v>1</v>
      </c>
      <c r="R14" s="3">
        <v>3</v>
      </c>
      <c r="S14" s="3">
        <f t="shared" si="1"/>
        <v>75</v>
      </c>
      <c r="T14" s="3">
        <v>4</v>
      </c>
      <c r="U14" s="3">
        <v>4</v>
      </c>
      <c r="V14" s="3">
        <v>1</v>
      </c>
      <c r="W14" s="3">
        <v>2</v>
      </c>
      <c r="X14" s="3">
        <f t="shared" si="2"/>
        <v>68.75</v>
      </c>
      <c r="Y14" s="3">
        <f t="shared" si="3"/>
        <v>6.25</v>
      </c>
      <c r="Z14" s="3">
        <f t="shared" si="4"/>
        <v>6.25</v>
      </c>
      <c r="AA14" s="4" t="s">
        <v>139</v>
      </c>
    </row>
    <row r="15" spans="1:27" ht="99.75">
      <c r="A15" s="3" t="s">
        <v>140</v>
      </c>
      <c r="B15" s="3" t="s">
        <v>28</v>
      </c>
      <c r="C15" s="3" t="s">
        <v>141</v>
      </c>
      <c r="D15" s="4" t="s">
        <v>142</v>
      </c>
      <c r="E15" s="4" t="s">
        <v>143</v>
      </c>
      <c r="F15" s="4" t="s">
        <v>144</v>
      </c>
      <c r="G15" s="4" t="s">
        <v>145</v>
      </c>
      <c r="H15" s="4" t="s">
        <v>146</v>
      </c>
      <c r="I15" s="3">
        <v>4</v>
      </c>
      <c r="J15" s="3">
        <v>4</v>
      </c>
      <c r="K15" s="3">
        <v>4</v>
      </c>
      <c r="L15" s="3">
        <v>4</v>
      </c>
      <c r="M15" s="3">
        <v>4</v>
      </c>
      <c r="N15" s="3">
        <f t="shared" si="0"/>
        <v>100</v>
      </c>
      <c r="O15" s="3">
        <v>4</v>
      </c>
      <c r="P15" s="3">
        <v>4</v>
      </c>
      <c r="Q15" s="3">
        <v>2</v>
      </c>
      <c r="R15" s="3">
        <v>3</v>
      </c>
      <c r="S15" s="3">
        <f t="shared" si="1"/>
        <v>81.25</v>
      </c>
      <c r="T15" s="3">
        <v>2</v>
      </c>
      <c r="U15" s="3">
        <v>1</v>
      </c>
      <c r="V15" s="3">
        <v>1</v>
      </c>
      <c r="W15" s="3">
        <v>2</v>
      </c>
      <c r="X15" s="3">
        <f t="shared" si="2"/>
        <v>37.5</v>
      </c>
      <c r="Y15" s="3">
        <f t="shared" si="3"/>
        <v>43.75</v>
      </c>
      <c r="Z15" s="3">
        <f t="shared" si="4"/>
        <v>43.75</v>
      </c>
      <c r="AA15" s="4" t="s">
        <v>147</v>
      </c>
    </row>
    <row r="16" spans="1:27" ht="99.75">
      <c r="A16" s="3" t="s">
        <v>148</v>
      </c>
      <c r="B16" s="3" t="s">
        <v>54</v>
      </c>
      <c r="C16" s="3" t="s">
        <v>149</v>
      </c>
      <c r="D16" s="4" t="s">
        <v>150</v>
      </c>
      <c r="E16" s="4" t="s">
        <v>151</v>
      </c>
      <c r="F16" s="4" t="s">
        <v>152</v>
      </c>
      <c r="G16" s="4" t="s">
        <v>153</v>
      </c>
      <c r="H16" s="4" t="s">
        <v>154</v>
      </c>
      <c r="I16" s="3">
        <v>4</v>
      </c>
      <c r="J16" s="3">
        <v>4</v>
      </c>
      <c r="K16" s="3">
        <v>4</v>
      </c>
      <c r="L16" s="3">
        <v>4</v>
      </c>
      <c r="M16" s="3">
        <v>4</v>
      </c>
      <c r="N16" s="3">
        <f t="shared" si="0"/>
        <v>100</v>
      </c>
      <c r="O16" s="3">
        <v>4</v>
      </c>
      <c r="P16" s="3">
        <v>4</v>
      </c>
      <c r="Q16" s="3">
        <v>4</v>
      </c>
      <c r="R16" s="3">
        <v>3</v>
      </c>
      <c r="S16" s="3">
        <f t="shared" si="1"/>
        <v>93.75</v>
      </c>
      <c r="T16" s="3">
        <v>3</v>
      </c>
      <c r="U16" s="3">
        <v>2</v>
      </c>
      <c r="V16" s="3">
        <v>1</v>
      </c>
      <c r="W16" s="3">
        <v>1</v>
      </c>
      <c r="X16" s="3">
        <f t="shared" si="2"/>
        <v>43.75</v>
      </c>
      <c r="Y16" s="3">
        <f t="shared" si="3"/>
        <v>50</v>
      </c>
      <c r="Z16" s="3">
        <f t="shared" si="4"/>
        <v>50</v>
      </c>
      <c r="AA16" s="4" t="s">
        <v>155</v>
      </c>
    </row>
    <row r="17" spans="1:27" ht="71.25">
      <c r="A17" s="3" t="s">
        <v>156</v>
      </c>
      <c r="B17" s="3" t="s">
        <v>63</v>
      </c>
      <c r="C17" s="3" t="s">
        <v>157</v>
      </c>
      <c r="D17" s="4" t="s">
        <v>158</v>
      </c>
      <c r="E17" s="4" t="s">
        <v>159</v>
      </c>
      <c r="F17" s="4" t="s">
        <v>160</v>
      </c>
      <c r="G17" s="4" t="s">
        <v>161</v>
      </c>
      <c r="H17" s="4" t="s">
        <v>162</v>
      </c>
      <c r="I17" s="3">
        <v>2</v>
      </c>
      <c r="J17" s="3">
        <v>0</v>
      </c>
      <c r="K17" s="3">
        <v>1</v>
      </c>
      <c r="L17" s="3">
        <v>1</v>
      </c>
      <c r="M17" s="3">
        <v>0</v>
      </c>
      <c r="N17" s="3">
        <f t="shared" si="0"/>
        <v>20</v>
      </c>
      <c r="O17" s="3">
        <v>4</v>
      </c>
      <c r="P17" s="3">
        <v>3</v>
      </c>
      <c r="Q17" s="3">
        <v>3</v>
      </c>
      <c r="R17" s="3">
        <v>3</v>
      </c>
      <c r="S17" s="3">
        <f t="shared" si="1"/>
        <v>81.25</v>
      </c>
      <c r="T17" s="3">
        <v>3</v>
      </c>
      <c r="U17" s="3">
        <v>4</v>
      </c>
      <c r="V17" s="3">
        <v>2</v>
      </c>
      <c r="W17" s="3">
        <v>4</v>
      </c>
      <c r="X17" s="3">
        <f t="shared" si="2"/>
        <v>81.25</v>
      </c>
      <c r="Y17" s="3">
        <f t="shared" si="3"/>
        <v>0</v>
      </c>
      <c r="Z17" s="3">
        <f t="shared" si="4"/>
        <v>0</v>
      </c>
      <c r="AA17" s="4" t="s">
        <v>163</v>
      </c>
    </row>
    <row r="18" spans="1:27" ht="114">
      <c r="A18" s="3" t="s">
        <v>164</v>
      </c>
      <c r="B18" s="3" t="s">
        <v>37</v>
      </c>
      <c r="C18" s="3" t="s">
        <v>165</v>
      </c>
      <c r="D18" s="4" t="s">
        <v>166</v>
      </c>
      <c r="E18" s="4" t="s">
        <v>167</v>
      </c>
      <c r="F18" s="4" t="s">
        <v>168</v>
      </c>
      <c r="G18" s="4" t="s">
        <v>169</v>
      </c>
      <c r="H18" s="4" t="s">
        <v>170</v>
      </c>
      <c r="I18" s="3">
        <v>4</v>
      </c>
      <c r="J18" s="3">
        <v>4</v>
      </c>
      <c r="K18" s="3">
        <v>4</v>
      </c>
      <c r="L18" s="3">
        <v>4</v>
      </c>
      <c r="M18" s="3">
        <v>4</v>
      </c>
      <c r="N18" s="3">
        <f t="shared" si="0"/>
        <v>100</v>
      </c>
      <c r="O18" s="3">
        <v>4</v>
      </c>
      <c r="P18" s="3">
        <v>4</v>
      </c>
      <c r="Q18" s="3">
        <v>3</v>
      </c>
      <c r="R18" s="3">
        <v>4</v>
      </c>
      <c r="S18" s="3">
        <f t="shared" si="1"/>
        <v>93.75</v>
      </c>
      <c r="T18" s="3">
        <v>4</v>
      </c>
      <c r="U18" s="3">
        <v>4</v>
      </c>
      <c r="V18" s="3">
        <v>2</v>
      </c>
      <c r="W18" s="3">
        <v>4</v>
      </c>
      <c r="X18" s="3">
        <f t="shared" si="2"/>
        <v>87.5</v>
      </c>
      <c r="Y18" s="3">
        <f t="shared" si="3"/>
        <v>6.25</v>
      </c>
      <c r="Z18" s="3">
        <f t="shared" si="4"/>
        <v>6.25</v>
      </c>
      <c r="AA18" s="4" t="s">
        <v>171</v>
      </c>
    </row>
    <row r="19" spans="1:27" ht="114">
      <c r="A19" s="3" t="s">
        <v>172</v>
      </c>
      <c r="B19" s="3" t="s">
        <v>173</v>
      </c>
      <c r="C19" s="3" t="s">
        <v>174</v>
      </c>
      <c r="D19" s="4" t="s">
        <v>175</v>
      </c>
      <c r="E19" s="4" t="s">
        <v>176</v>
      </c>
      <c r="F19" s="4" t="s">
        <v>177</v>
      </c>
      <c r="G19" s="4" t="s">
        <v>178</v>
      </c>
      <c r="H19" s="4" t="s">
        <v>179</v>
      </c>
      <c r="I19" s="3">
        <v>4</v>
      </c>
      <c r="J19" s="3">
        <v>4</v>
      </c>
      <c r="K19" s="3">
        <v>4</v>
      </c>
      <c r="L19" s="3">
        <v>4</v>
      </c>
      <c r="M19" s="3">
        <v>4</v>
      </c>
      <c r="N19" s="3">
        <f t="shared" si="0"/>
        <v>100</v>
      </c>
      <c r="O19" s="3">
        <v>4</v>
      </c>
      <c r="P19" s="3">
        <v>4</v>
      </c>
      <c r="Q19" s="3">
        <v>4</v>
      </c>
      <c r="R19" s="3">
        <v>4</v>
      </c>
      <c r="S19" s="3">
        <f t="shared" si="1"/>
        <v>100</v>
      </c>
      <c r="T19" s="3">
        <v>3</v>
      </c>
      <c r="U19" s="3">
        <v>2</v>
      </c>
      <c r="V19" s="3">
        <v>4</v>
      </c>
      <c r="W19" s="3">
        <v>3</v>
      </c>
      <c r="X19" s="3">
        <f t="shared" si="2"/>
        <v>75</v>
      </c>
      <c r="Y19" s="3">
        <f t="shared" si="3"/>
        <v>25</v>
      </c>
      <c r="Z19" s="3">
        <f t="shared" si="4"/>
        <v>25</v>
      </c>
      <c r="AA19" s="4" t="s">
        <v>180</v>
      </c>
    </row>
    <row r="20" spans="1:27" ht="71.25">
      <c r="A20" s="3" t="s">
        <v>181</v>
      </c>
      <c r="B20" s="3" t="s">
        <v>114</v>
      </c>
      <c r="C20" s="3" t="s">
        <v>182</v>
      </c>
      <c r="D20" s="4" t="s">
        <v>183</v>
      </c>
      <c r="E20" s="4" t="s">
        <v>184</v>
      </c>
      <c r="F20" s="4" t="s">
        <v>185</v>
      </c>
      <c r="G20" s="4" t="s">
        <v>186</v>
      </c>
      <c r="H20" s="4" t="s">
        <v>187</v>
      </c>
      <c r="I20" s="3">
        <v>1</v>
      </c>
      <c r="J20" s="3">
        <v>1</v>
      </c>
      <c r="K20" s="3">
        <v>4</v>
      </c>
      <c r="L20" s="3">
        <v>1</v>
      </c>
      <c r="M20" s="3">
        <v>0</v>
      </c>
      <c r="N20" s="3">
        <f t="shared" si="0"/>
        <v>35</v>
      </c>
      <c r="O20" s="3">
        <v>4</v>
      </c>
      <c r="P20" s="3">
        <v>2</v>
      </c>
      <c r="Q20" s="3">
        <v>4</v>
      </c>
      <c r="R20" s="3">
        <v>3</v>
      </c>
      <c r="S20" s="3">
        <f t="shared" si="1"/>
        <v>81.25</v>
      </c>
      <c r="T20" s="3">
        <v>4</v>
      </c>
      <c r="U20" s="3">
        <v>3</v>
      </c>
      <c r="V20" s="3">
        <v>4</v>
      </c>
      <c r="W20" s="3">
        <v>4</v>
      </c>
      <c r="X20" s="3">
        <f t="shared" si="2"/>
        <v>93.75</v>
      </c>
      <c r="Y20" s="3">
        <f t="shared" si="3"/>
        <v>-12.5</v>
      </c>
      <c r="Z20" s="3">
        <f t="shared" si="4"/>
        <v>12.5</v>
      </c>
      <c r="AA20" s="4" t="s">
        <v>188</v>
      </c>
    </row>
    <row r="21" spans="1:27" ht="128.25">
      <c r="A21" s="3" t="s">
        <v>189</v>
      </c>
      <c r="B21" s="3" t="s">
        <v>132</v>
      </c>
      <c r="C21" s="3" t="s">
        <v>190</v>
      </c>
      <c r="D21" s="4" t="s">
        <v>191</v>
      </c>
      <c r="E21" s="4" t="s">
        <v>192</v>
      </c>
      <c r="F21" s="4" t="s">
        <v>193</v>
      </c>
      <c r="G21" s="4" t="s">
        <v>194</v>
      </c>
      <c r="H21" s="4" t="s">
        <v>195</v>
      </c>
      <c r="I21" s="3">
        <v>4</v>
      </c>
      <c r="J21" s="3">
        <v>4</v>
      </c>
      <c r="K21" s="3">
        <v>4</v>
      </c>
      <c r="L21" s="3">
        <v>4</v>
      </c>
      <c r="M21" s="3">
        <v>4</v>
      </c>
      <c r="N21" s="3">
        <f t="shared" si="0"/>
        <v>100</v>
      </c>
      <c r="O21" s="3">
        <v>4</v>
      </c>
      <c r="P21" s="3">
        <v>4</v>
      </c>
      <c r="Q21" s="3">
        <v>3</v>
      </c>
      <c r="R21" s="3">
        <v>4</v>
      </c>
      <c r="S21" s="3">
        <f t="shared" si="1"/>
        <v>93.75</v>
      </c>
      <c r="T21" s="3">
        <v>3</v>
      </c>
      <c r="U21" s="3">
        <v>3</v>
      </c>
      <c r="V21" s="3">
        <v>4</v>
      </c>
      <c r="W21" s="3">
        <v>4</v>
      </c>
      <c r="X21" s="3">
        <f t="shared" si="2"/>
        <v>87.5</v>
      </c>
      <c r="Y21" s="3">
        <f t="shared" si="3"/>
        <v>6.25</v>
      </c>
      <c r="Z21" s="3">
        <f t="shared" si="4"/>
        <v>6.25</v>
      </c>
      <c r="AA21" s="4" t="s">
        <v>196</v>
      </c>
    </row>
    <row r="22" spans="1:27" ht="114">
      <c r="A22" s="3" t="s">
        <v>197</v>
      </c>
      <c r="B22" s="3" t="s">
        <v>123</v>
      </c>
      <c r="C22" s="3" t="s">
        <v>198</v>
      </c>
      <c r="D22" s="4" t="s">
        <v>199</v>
      </c>
      <c r="E22" s="4" t="s">
        <v>200</v>
      </c>
      <c r="F22" s="4" t="s">
        <v>201</v>
      </c>
      <c r="G22" s="4" t="s">
        <v>202</v>
      </c>
      <c r="H22" s="4" t="s">
        <v>203</v>
      </c>
      <c r="I22" s="3">
        <v>4</v>
      </c>
      <c r="J22" s="3">
        <v>4</v>
      </c>
      <c r="K22" s="3">
        <v>4</v>
      </c>
      <c r="L22" s="3">
        <v>4</v>
      </c>
      <c r="M22" s="3">
        <v>4</v>
      </c>
      <c r="N22" s="3">
        <f t="shared" si="0"/>
        <v>100</v>
      </c>
      <c r="O22" s="3">
        <v>2</v>
      </c>
      <c r="P22" s="3">
        <v>2</v>
      </c>
      <c r="Q22" s="3">
        <v>1</v>
      </c>
      <c r="R22" s="3">
        <v>2</v>
      </c>
      <c r="S22" s="3">
        <f t="shared" si="1"/>
        <v>43.75</v>
      </c>
      <c r="T22" s="3">
        <v>4</v>
      </c>
      <c r="U22" s="3">
        <v>4</v>
      </c>
      <c r="V22" s="3">
        <v>2</v>
      </c>
      <c r="W22" s="3">
        <v>4</v>
      </c>
      <c r="X22" s="3">
        <f t="shared" si="2"/>
        <v>87.5</v>
      </c>
      <c r="Y22" s="3">
        <f t="shared" si="3"/>
        <v>-43.75</v>
      </c>
      <c r="Z22" s="3">
        <f t="shared" si="4"/>
        <v>43.75</v>
      </c>
      <c r="AA22" s="4" t="s">
        <v>204</v>
      </c>
    </row>
    <row r="23" spans="1:27" ht="85.5">
      <c r="A23" s="3" t="s">
        <v>205</v>
      </c>
      <c r="B23" s="3" t="s">
        <v>72</v>
      </c>
      <c r="C23" s="3" t="s">
        <v>206</v>
      </c>
      <c r="D23" s="4" t="s">
        <v>207</v>
      </c>
      <c r="E23" s="4" t="s">
        <v>208</v>
      </c>
      <c r="F23" s="4" t="s">
        <v>209</v>
      </c>
      <c r="G23" s="4" t="s">
        <v>210</v>
      </c>
      <c r="H23" s="4" t="s">
        <v>211</v>
      </c>
      <c r="I23" s="3">
        <v>2</v>
      </c>
      <c r="J23" s="3">
        <v>0</v>
      </c>
      <c r="K23" s="3">
        <v>2</v>
      </c>
      <c r="L23" s="3">
        <v>1</v>
      </c>
      <c r="M23" s="3">
        <v>0</v>
      </c>
      <c r="N23" s="3">
        <f t="shared" si="0"/>
        <v>25</v>
      </c>
      <c r="O23" s="3">
        <v>4</v>
      </c>
      <c r="P23" s="3">
        <v>3</v>
      </c>
      <c r="Q23" s="3">
        <v>1</v>
      </c>
      <c r="R23" s="3">
        <v>3</v>
      </c>
      <c r="S23" s="3">
        <f t="shared" si="1"/>
        <v>68.75</v>
      </c>
      <c r="T23" s="3">
        <v>4</v>
      </c>
      <c r="U23" s="3">
        <v>4</v>
      </c>
      <c r="V23" s="3">
        <v>1</v>
      </c>
      <c r="W23" s="3">
        <v>4</v>
      </c>
      <c r="X23" s="3">
        <f t="shared" si="2"/>
        <v>81.25</v>
      </c>
      <c r="Y23" s="3">
        <f t="shared" si="3"/>
        <v>-12.5</v>
      </c>
      <c r="Z23" s="3">
        <f t="shared" si="4"/>
        <v>12.5</v>
      </c>
      <c r="AA23" s="4" t="s">
        <v>212</v>
      </c>
    </row>
    <row r="24" spans="1:27" ht="128.25">
      <c r="A24" s="3" t="s">
        <v>213</v>
      </c>
      <c r="B24" s="3" t="s">
        <v>28</v>
      </c>
      <c r="C24" s="3" t="s">
        <v>214</v>
      </c>
      <c r="D24" s="4" t="s">
        <v>215</v>
      </c>
      <c r="E24" s="4" t="s">
        <v>216</v>
      </c>
      <c r="F24" s="4" t="s">
        <v>217</v>
      </c>
      <c r="G24" s="4" t="s">
        <v>218</v>
      </c>
      <c r="H24" s="4" t="s">
        <v>219</v>
      </c>
      <c r="I24" s="3">
        <v>4</v>
      </c>
      <c r="J24" s="3">
        <v>4</v>
      </c>
      <c r="K24" s="3">
        <v>4</v>
      </c>
      <c r="L24" s="3">
        <v>4</v>
      </c>
      <c r="M24" s="3">
        <v>4</v>
      </c>
      <c r="N24" s="3">
        <f t="shared" si="0"/>
        <v>100</v>
      </c>
      <c r="O24" s="3">
        <v>4</v>
      </c>
      <c r="P24" s="3">
        <v>4</v>
      </c>
      <c r="Q24" s="3">
        <v>2</v>
      </c>
      <c r="R24" s="3">
        <v>4</v>
      </c>
      <c r="S24" s="3">
        <f t="shared" si="1"/>
        <v>87.5</v>
      </c>
      <c r="T24" s="3">
        <v>3</v>
      </c>
      <c r="U24" s="3">
        <v>3</v>
      </c>
      <c r="V24" s="3">
        <v>1</v>
      </c>
      <c r="W24" s="3">
        <v>3</v>
      </c>
      <c r="X24" s="3">
        <f t="shared" si="2"/>
        <v>62.5</v>
      </c>
      <c r="Y24" s="3">
        <f t="shared" si="3"/>
        <v>25</v>
      </c>
      <c r="Z24" s="3">
        <f t="shared" si="4"/>
        <v>25</v>
      </c>
      <c r="AA24" s="4" t="s">
        <v>220</v>
      </c>
    </row>
    <row r="25" spans="1:27" ht="99.75">
      <c r="A25" s="3" t="s">
        <v>221</v>
      </c>
      <c r="B25" s="3" t="s">
        <v>222</v>
      </c>
      <c r="C25" s="3" t="s">
        <v>223</v>
      </c>
      <c r="D25" s="4" t="s">
        <v>224</v>
      </c>
      <c r="E25" s="4" t="s">
        <v>225</v>
      </c>
      <c r="F25" s="4" t="s">
        <v>226</v>
      </c>
      <c r="G25" s="4" t="s">
        <v>227</v>
      </c>
      <c r="H25" s="4" t="s">
        <v>228</v>
      </c>
      <c r="I25" s="3">
        <v>4</v>
      </c>
      <c r="J25" s="3">
        <v>4</v>
      </c>
      <c r="K25" s="3">
        <v>4</v>
      </c>
      <c r="L25" s="3">
        <v>4</v>
      </c>
      <c r="M25" s="3">
        <v>4</v>
      </c>
      <c r="N25" s="3">
        <f t="shared" si="0"/>
        <v>100</v>
      </c>
      <c r="O25" s="3">
        <v>4</v>
      </c>
      <c r="P25" s="3">
        <v>4</v>
      </c>
      <c r="Q25" s="3">
        <v>1</v>
      </c>
      <c r="R25" s="3">
        <v>4</v>
      </c>
      <c r="S25" s="3">
        <f t="shared" si="1"/>
        <v>81.25</v>
      </c>
      <c r="T25" s="3">
        <v>4</v>
      </c>
      <c r="U25" s="3">
        <v>4</v>
      </c>
      <c r="V25" s="3">
        <v>1</v>
      </c>
      <c r="W25" s="3">
        <v>4</v>
      </c>
      <c r="X25" s="3">
        <f t="shared" si="2"/>
        <v>81.25</v>
      </c>
      <c r="Y25" s="3">
        <f t="shared" si="3"/>
        <v>0</v>
      </c>
      <c r="Z25" s="3">
        <f t="shared" si="4"/>
        <v>0</v>
      </c>
      <c r="AA25" s="4" t="s">
        <v>229</v>
      </c>
    </row>
  </sheetData>
  <conditionalFormatting sqref="N2:N25">
    <cfRule type="colorScale" priority="1">
      <colorScale>
        <cfvo type="min"/>
        <cfvo type="percentile" val="50"/>
        <cfvo type="max"/>
        <color rgb="FFF8696B"/>
        <color rgb="FFFFEB84"/>
        <color rgb="FF63BE7B"/>
      </colorScale>
    </cfRule>
  </conditionalFormatting>
  <conditionalFormatting sqref="Z2:Z25">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5"/>
  <sheetViews>
    <sheetView workbookViewId="0">
      <selection activeCell="E4" sqref="E4"/>
    </sheetView>
  </sheetViews>
  <sheetFormatPr defaultRowHeight="14.25"/>
  <cols>
    <col min="1" max="1" width="14" customWidth="1"/>
    <col min="2" max="2" width="20" customWidth="1"/>
    <col min="3" max="3" width="24" customWidth="1"/>
    <col min="4" max="17" width="12" customWidth="1"/>
    <col min="18" max="18" width="38" customWidth="1"/>
  </cols>
  <sheetData>
    <row r="1" spans="1:18" ht="15">
      <c r="A1" s="1" t="s">
        <v>0</v>
      </c>
      <c r="B1" s="1" t="s">
        <v>1</v>
      </c>
      <c r="C1" s="1" t="s">
        <v>2</v>
      </c>
      <c r="D1" s="1" t="s">
        <v>13</v>
      </c>
      <c r="E1" s="1" t="s">
        <v>230</v>
      </c>
      <c r="F1" s="1" t="s">
        <v>231</v>
      </c>
      <c r="G1" s="1" t="s">
        <v>18</v>
      </c>
      <c r="H1" s="1" t="s">
        <v>232</v>
      </c>
      <c r="I1" s="1" t="s">
        <v>233</v>
      </c>
      <c r="J1" s="1" t="s">
        <v>23</v>
      </c>
      <c r="K1" s="1" t="s">
        <v>234</v>
      </c>
      <c r="L1" s="1" t="s">
        <v>235</v>
      </c>
      <c r="M1" s="1" t="s">
        <v>24</v>
      </c>
      <c r="N1" s="1" t="s">
        <v>236</v>
      </c>
      <c r="O1" s="1" t="s">
        <v>237</v>
      </c>
      <c r="P1" s="1" t="s">
        <v>25</v>
      </c>
      <c r="Q1" s="1" t="s">
        <v>238</v>
      </c>
      <c r="R1" s="1" t="s">
        <v>239</v>
      </c>
    </row>
    <row r="2" spans="1:18">
      <c r="A2" t="s">
        <v>27</v>
      </c>
      <c r="B2" t="s">
        <v>28</v>
      </c>
      <c r="C2" t="s">
        <v>29</v>
      </c>
      <c r="D2">
        <f>Referencia_24!N2</f>
        <v>100</v>
      </c>
      <c r="E2" s="5"/>
      <c r="F2" t="str">
        <f>IF(E2="","",E2-D2)</f>
        <v/>
      </c>
      <c r="G2">
        <f>Referencia_24!S2</f>
        <v>75</v>
      </c>
      <c r="H2" s="5"/>
      <c r="I2" t="str">
        <f>IF(H2="","",H2-G2)</f>
        <v/>
      </c>
      <c r="J2">
        <f>Referencia_24!X2</f>
        <v>25</v>
      </c>
      <c r="K2" s="5"/>
      <c r="L2" t="str">
        <f t="shared" ref="L2:L25" si="0">IF(K2="","",K2-J2)</f>
        <v/>
      </c>
      <c r="M2">
        <f>Referencia_24!Y2</f>
        <v>50</v>
      </c>
      <c r="N2" s="5"/>
      <c r="O2" t="str">
        <f t="shared" ref="O2:O25" si="1">IF(N2="","",N2-M2)</f>
        <v/>
      </c>
      <c r="P2">
        <f>Referencia_24!Z2</f>
        <v>50</v>
      </c>
      <c r="Q2" t="str">
        <f t="shared" ref="Q2:Q25" si="2">IF(N2="","",ABS(N2))</f>
        <v/>
      </c>
    </row>
    <row r="3" spans="1:18">
      <c r="A3" t="s">
        <v>36</v>
      </c>
      <c r="B3" t="s">
        <v>37</v>
      </c>
      <c r="C3" t="s">
        <v>38</v>
      </c>
      <c r="D3">
        <f>Referencia_24!N3</f>
        <v>100</v>
      </c>
      <c r="E3" s="5"/>
      <c r="F3" t="str">
        <f>IF(E3="","",E3-D3)</f>
        <v/>
      </c>
      <c r="G3">
        <f>Referencia_24!S3</f>
        <v>81.25</v>
      </c>
      <c r="H3" s="5"/>
      <c r="I3" t="str">
        <f>IF(H3="","",H3-G3)</f>
        <v/>
      </c>
      <c r="J3">
        <f>Referencia_24!X3</f>
        <v>31.25</v>
      </c>
      <c r="K3" s="5"/>
      <c r="L3" t="str">
        <f t="shared" si="0"/>
        <v/>
      </c>
      <c r="M3">
        <f>Referencia_24!Y3</f>
        <v>50</v>
      </c>
      <c r="N3" s="5"/>
      <c r="O3" t="str">
        <f t="shared" si="1"/>
        <v/>
      </c>
      <c r="P3">
        <f>Referencia_24!Z3</f>
        <v>50</v>
      </c>
      <c r="Q3" t="str">
        <f t="shared" si="2"/>
        <v/>
      </c>
    </row>
    <row r="4" spans="1:18">
      <c r="A4" t="s">
        <v>45</v>
      </c>
      <c r="B4" t="s">
        <v>28</v>
      </c>
      <c r="C4" t="s">
        <v>46</v>
      </c>
      <c r="D4">
        <f>Referencia_24!N4</f>
        <v>100</v>
      </c>
      <c r="E4" s="5"/>
      <c r="F4" t="str">
        <f>IF(E4="","",E4-D4)</f>
        <v/>
      </c>
      <c r="G4">
        <f>Referencia_24!S4</f>
        <v>62.5</v>
      </c>
      <c r="H4" s="5"/>
      <c r="I4" t="str">
        <f>IF(H4="","",H4-G4)</f>
        <v/>
      </c>
      <c r="J4">
        <f>Referencia_24!X4</f>
        <v>62.5</v>
      </c>
      <c r="K4" s="5"/>
      <c r="L4" t="str">
        <f t="shared" si="0"/>
        <v/>
      </c>
      <c r="M4">
        <f>Referencia_24!Y4</f>
        <v>0</v>
      </c>
      <c r="N4" s="5"/>
      <c r="O4" t="str">
        <f t="shared" si="1"/>
        <v/>
      </c>
      <c r="P4">
        <f>Referencia_24!Z4</f>
        <v>0</v>
      </c>
      <c r="Q4" t="str">
        <f t="shared" si="2"/>
        <v/>
      </c>
    </row>
    <row r="5" spans="1:18">
      <c r="A5" t="s">
        <v>53</v>
      </c>
      <c r="B5" t="s">
        <v>54</v>
      </c>
      <c r="C5" t="s">
        <v>55</v>
      </c>
      <c r="D5">
        <f>Referencia_24!N5</f>
        <v>100</v>
      </c>
      <c r="E5" s="5"/>
      <c r="F5" t="str">
        <f>IF(E5="","",E5-D5)</f>
        <v/>
      </c>
      <c r="G5">
        <f>Referencia_24!S5</f>
        <v>81.25</v>
      </c>
      <c r="H5" s="5"/>
      <c r="I5" t="str">
        <f>IF(H5="","",H5-G5)</f>
        <v/>
      </c>
      <c r="J5">
        <f>Referencia_24!X5</f>
        <v>25</v>
      </c>
      <c r="K5" s="5"/>
      <c r="L5" t="str">
        <f t="shared" si="0"/>
        <v/>
      </c>
      <c r="M5">
        <f>Referencia_24!Y5</f>
        <v>56.25</v>
      </c>
      <c r="N5" s="5"/>
      <c r="O5" t="str">
        <f t="shared" si="1"/>
        <v/>
      </c>
      <c r="P5">
        <f>Referencia_24!Z5</f>
        <v>56.25</v>
      </c>
      <c r="Q5" t="str">
        <f t="shared" si="2"/>
        <v/>
      </c>
    </row>
    <row r="6" spans="1:18">
      <c r="A6" t="s">
        <v>62</v>
      </c>
      <c r="B6" t="s">
        <v>63</v>
      </c>
      <c r="C6" t="s">
        <v>64</v>
      </c>
      <c r="D6">
        <f>Referencia_24!N6</f>
        <v>100</v>
      </c>
      <c r="E6" s="5"/>
      <c r="F6" t="str">
        <f>IF(E6="","",E6-D6)</f>
        <v/>
      </c>
      <c r="G6">
        <f>Referencia_24!S6</f>
        <v>87.5</v>
      </c>
      <c r="H6" s="5"/>
      <c r="I6" t="str">
        <f>IF(H6="","",H6-G6)</f>
        <v/>
      </c>
      <c r="J6">
        <f>Referencia_24!X6</f>
        <v>62.5</v>
      </c>
      <c r="K6" s="5"/>
      <c r="L6" t="str">
        <f t="shared" si="0"/>
        <v/>
      </c>
      <c r="M6">
        <f>Referencia_24!Y6</f>
        <v>25</v>
      </c>
      <c r="N6" s="5"/>
      <c r="O6" t="str">
        <f t="shared" si="1"/>
        <v/>
      </c>
      <c r="P6">
        <f>Referencia_24!Z6</f>
        <v>25</v>
      </c>
      <c r="Q6" t="str">
        <f t="shared" si="2"/>
        <v/>
      </c>
    </row>
    <row r="7" spans="1:18">
      <c r="A7" t="s">
        <v>71</v>
      </c>
      <c r="B7" t="s">
        <v>72</v>
      </c>
      <c r="C7" t="s">
        <v>73</v>
      </c>
      <c r="D7">
        <f>Referencia_24!N7</f>
        <v>85</v>
      </c>
      <c r="E7" s="5"/>
      <c r="F7" t="str">
        <f>IF(E7="","",E7-D7)</f>
        <v/>
      </c>
      <c r="G7">
        <f>Referencia_24!S7</f>
        <v>68.75</v>
      </c>
      <c r="H7" s="5"/>
      <c r="I7" t="str">
        <f>IF(H7="","",H7-G7)</f>
        <v/>
      </c>
      <c r="J7">
        <f>Referencia_24!X7</f>
        <v>56.25</v>
      </c>
      <c r="K7" s="5"/>
      <c r="L7" t="str">
        <f t="shared" si="0"/>
        <v/>
      </c>
      <c r="M7">
        <f>Referencia_24!Y7</f>
        <v>12.5</v>
      </c>
      <c r="N7" s="5"/>
      <c r="O7" t="str">
        <f t="shared" si="1"/>
        <v/>
      </c>
      <c r="P7">
        <f>Referencia_24!Z7</f>
        <v>12.5</v>
      </c>
      <c r="Q7" t="str">
        <f t="shared" si="2"/>
        <v/>
      </c>
    </row>
    <row r="8" spans="1:18">
      <c r="A8" t="s">
        <v>80</v>
      </c>
      <c r="B8" t="s">
        <v>28</v>
      </c>
      <c r="C8" t="s">
        <v>81</v>
      </c>
      <c r="D8">
        <f>Referencia_24!N8</f>
        <v>20</v>
      </c>
      <c r="E8" s="5"/>
      <c r="F8" t="str">
        <f>IF(E8="","",E8-D8)</f>
        <v/>
      </c>
      <c r="G8">
        <f>Referencia_24!S8</f>
        <v>75</v>
      </c>
      <c r="H8" s="5"/>
      <c r="I8" t="str">
        <f>IF(H8="","",H8-G8)</f>
        <v/>
      </c>
      <c r="J8">
        <f>Referencia_24!X8</f>
        <v>12.5</v>
      </c>
      <c r="K8" s="5"/>
      <c r="L8" t="str">
        <f t="shared" si="0"/>
        <v/>
      </c>
      <c r="M8">
        <f>Referencia_24!Y8</f>
        <v>62.5</v>
      </c>
      <c r="N8" s="5"/>
      <c r="O8" t="str">
        <f t="shared" si="1"/>
        <v/>
      </c>
      <c r="P8">
        <f>Referencia_24!Z8</f>
        <v>62.5</v>
      </c>
      <c r="Q8" t="str">
        <f t="shared" si="2"/>
        <v/>
      </c>
    </row>
    <row r="9" spans="1:18">
      <c r="A9" t="s">
        <v>88</v>
      </c>
      <c r="B9" t="s">
        <v>89</v>
      </c>
      <c r="C9" t="s">
        <v>90</v>
      </c>
      <c r="D9">
        <f>Referencia_24!N9</f>
        <v>65</v>
      </c>
      <c r="E9" s="5"/>
      <c r="F9" t="str">
        <f>IF(E9="","",E9-D9)</f>
        <v/>
      </c>
      <c r="G9">
        <f>Referencia_24!S9</f>
        <v>87.5</v>
      </c>
      <c r="H9" s="5"/>
      <c r="I9" t="str">
        <f>IF(H9="","",H9-G9)</f>
        <v/>
      </c>
      <c r="J9">
        <f>Referencia_24!X9</f>
        <v>43.75</v>
      </c>
      <c r="K9" s="5"/>
      <c r="L9" t="str">
        <f t="shared" si="0"/>
        <v/>
      </c>
      <c r="M9">
        <f>Referencia_24!Y9</f>
        <v>43.75</v>
      </c>
      <c r="N9" s="5"/>
      <c r="O9" t="str">
        <f t="shared" si="1"/>
        <v/>
      </c>
      <c r="P9">
        <f>Referencia_24!Z9</f>
        <v>43.75</v>
      </c>
      <c r="Q9" t="str">
        <f t="shared" si="2"/>
        <v/>
      </c>
    </row>
    <row r="10" spans="1:18">
      <c r="A10" t="s">
        <v>96</v>
      </c>
      <c r="B10" t="s">
        <v>97</v>
      </c>
      <c r="C10" t="s">
        <v>98</v>
      </c>
      <c r="D10">
        <f>Referencia_24!N10</f>
        <v>35</v>
      </c>
      <c r="E10" s="5"/>
      <c r="F10" t="str">
        <f>IF(E10="","",E10-D10)</f>
        <v/>
      </c>
      <c r="G10">
        <f>Referencia_24!S10</f>
        <v>87.5</v>
      </c>
      <c r="H10" s="5"/>
      <c r="I10" t="str">
        <f>IF(H10="","",H10-G10)</f>
        <v/>
      </c>
      <c r="J10">
        <f>Referencia_24!X10</f>
        <v>87.5</v>
      </c>
      <c r="K10" s="5"/>
      <c r="L10" t="str">
        <f t="shared" si="0"/>
        <v/>
      </c>
      <c r="M10">
        <f>Referencia_24!Y10</f>
        <v>0</v>
      </c>
      <c r="N10" s="5"/>
      <c r="O10" t="str">
        <f t="shared" si="1"/>
        <v/>
      </c>
      <c r="P10">
        <f>Referencia_24!Z10</f>
        <v>0</v>
      </c>
      <c r="Q10" t="str">
        <f t="shared" si="2"/>
        <v/>
      </c>
    </row>
    <row r="11" spans="1:18">
      <c r="A11" t="s">
        <v>105</v>
      </c>
      <c r="B11" t="s">
        <v>37</v>
      </c>
      <c r="C11" t="s">
        <v>106</v>
      </c>
      <c r="D11">
        <f>Referencia_24!N11</f>
        <v>45</v>
      </c>
      <c r="E11" s="5"/>
      <c r="F11" t="str">
        <f>IF(E11="","",E11-D11)</f>
        <v/>
      </c>
      <c r="G11">
        <f>Referencia_24!S11</f>
        <v>81.25</v>
      </c>
      <c r="H11" s="5"/>
      <c r="I11" t="str">
        <f>IF(H11="","",H11-G11)</f>
        <v/>
      </c>
      <c r="J11">
        <f>Referencia_24!X11</f>
        <v>81.25</v>
      </c>
      <c r="K11" s="5"/>
      <c r="L11" t="str">
        <f t="shared" si="0"/>
        <v/>
      </c>
      <c r="M11">
        <f>Referencia_24!Y11</f>
        <v>0</v>
      </c>
      <c r="N11" s="5"/>
      <c r="O11" t="str">
        <f t="shared" si="1"/>
        <v/>
      </c>
      <c r="P11">
        <f>Referencia_24!Z11</f>
        <v>0</v>
      </c>
      <c r="Q11" t="str">
        <f t="shared" si="2"/>
        <v/>
      </c>
    </row>
    <row r="12" spans="1:18">
      <c r="A12" t="s">
        <v>113</v>
      </c>
      <c r="B12" t="s">
        <v>114</v>
      </c>
      <c r="C12" t="s">
        <v>115</v>
      </c>
      <c r="D12">
        <f>Referencia_24!N12</f>
        <v>100</v>
      </c>
      <c r="E12" s="5"/>
      <c r="F12" t="str">
        <f>IF(E12="","",E12-D12)</f>
        <v/>
      </c>
      <c r="G12">
        <f>Referencia_24!S12</f>
        <v>93.75</v>
      </c>
      <c r="H12" s="5"/>
      <c r="I12" t="str">
        <f>IF(H12="","",H12-G12)</f>
        <v/>
      </c>
      <c r="J12">
        <f>Referencia_24!X12</f>
        <v>56.25</v>
      </c>
      <c r="K12" s="5"/>
      <c r="L12" t="str">
        <f t="shared" si="0"/>
        <v/>
      </c>
      <c r="M12">
        <f>Referencia_24!Y12</f>
        <v>37.5</v>
      </c>
      <c r="N12" s="5"/>
      <c r="O12" t="str">
        <f t="shared" si="1"/>
        <v/>
      </c>
      <c r="P12">
        <f>Referencia_24!Z12</f>
        <v>37.5</v>
      </c>
      <c r="Q12" t="str">
        <f t="shared" si="2"/>
        <v/>
      </c>
    </row>
    <row r="13" spans="1:18">
      <c r="A13" t="s">
        <v>122</v>
      </c>
      <c r="B13" t="s">
        <v>123</v>
      </c>
      <c r="C13" t="s">
        <v>124</v>
      </c>
      <c r="D13">
        <f>Referencia_24!N13</f>
        <v>100</v>
      </c>
      <c r="E13" s="5"/>
      <c r="F13" t="str">
        <f>IF(E13="","",E13-D13)</f>
        <v/>
      </c>
      <c r="G13">
        <f>Referencia_24!S13</f>
        <v>81.25</v>
      </c>
      <c r="H13" s="5"/>
      <c r="I13" t="str">
        <f>IF(H13="","",H13-G13)</f>
        <v/>
      </c>
      <c r="J13">
        <f>Referencia_24!X13</f>
        <v>62.5</v>
      </c>
      <c r="K13" s="5"/>
      <c r="L13" t="str">
        <f t="shared" si="0"/>
        <v/>
      </c>
      <c r="M13">
        <f>Referencia_24!Y13</f>
        <v>18.75</v>
      </c>
      <c r="N13" s="5"/>
      <c r="O13" t="str">
        <f t="shared" si="1"/>
        <v/>
      </c>
      <c r="P13">
        <f>Referencia_24!Z13</f>
        <v>18.75</v>
      </c>
      <c r="Q13" t="str">
        <f t="shared" si="2"/>
        <v/>
      </c>
    </row>
    <row r="14" spans="1:18">
      <c r="A14" t="s">
        <v>131</v>
      </c>
      <c r="B14" t="s">
        <v>132</v>
      </c>
      <c r="C14" t="s">
        <v>133</v>
      </c>
      <c r="D14">
        <f>Referencia_24!N14</f>
        <v>100</v>
      </c>
      <c r="E14" s="5"/>
      <c r="F14" t="str">
        <f>IF(E14="","",E14-D14)</f>
        <v/>
      </c>
      <c r="G14">
        <f>Referencia_24!S14</f>
        <v>75</v>
      </c>
      <c r="H14" s="5"/>
      <c r="I14" t="str">
        <f>IF(H14="","",H14-G14)</f>
        <v/>
      </c>
      <c r="J14">
        <f>Referencia_24!X14</f>
        <v>68.75</v>
      </c>
      <c r="K14" s="5"/>
      <c r="L14" t="str">
        <f t="shared" si="0"/>
        <v/>
      </c>
      <c r="M14">
        <f>Referencia_24!Y14</f>
        <v>6.25</v>
      </c>
      <c r="N14" s="5"/>
      <c r="O14" t="str">
        <f t="shared" si="1"/>
        <v/>
      </c>
      <c r="P14">
        <f>Referencia_24!Z14</f>
        <v>6.25</v>
      </c>
      <c r="Q14" t="str">
        <f t="shared" si="2"/>
        <v/>
      </c>
    </row>
    <row r="15" spans="1:18">
      <c r="A15" t="s">
        <v>140</v>
      </c>
      <c r="B15" t="s">
        <v>28</v>
      </c>
      <c r="C15" t="s">
        <v>141</v>
      </c>
      <c r="D15">
        <f>Referencia_24!N15</f>
        <v>100</v>
      </c>
      <c r="E15" s="5"/>
      <c r="F15" t="str">
        <f>IF(E15="","",E15-D15)</f>
        <v/>
      </c>
      <c r="G15">
        <f>Referencia_24!S15</f>
        <v>81.25</v>
      </c>
      <c r="H15" s="5"/>
      <c r="I15" t="str">
        <f>IF(H15="","",H15-G15)</f>
        <v/>
      </c>
      <c r="J15">
        <f>Referencia_24!X15</f>
        <v>37.5</v>
      </c>
      <c r="K15" s="5"/>
      <c r="L15" t="str">
        <f t="shared" si="0"/>
        <v/>
      </c>
      <c r="M15">
        <f>Referencia_24!Y15</f>
        <v>43.75</v>
      </c>
      <c r="N15" s="5"/>
      <c r="O15" t="str">
        <f t="shared" si="1"/>
        <v/>
      </c>
      <c r="P15">
        <f>Referencia_24!Z15</f>
        <v>43.75</v>
      </c>
      <c r="Q15" t="str">
        <f t="shared" si="2"/>
        <v/>
      </c>
    </row>
    <row r="16" spans="1:18">
      <c r="A16" t="s">
        <v>148</v>
      </c>
      <c r="B16" t="s">
        <v>54</v>
      </c>
      <c r="C16" t="s">
        <v>149</v>
      </c>
      <c r="D16">
        <f>Referencia_24!N16</f>
        <v>100</v>
      </c>
      <c r="E16" s="5"/>
      <c r="F16" t="str">
        <f>IF(E16="","",E16-D16)</f>
        <v/>
      </c>
      <c r="G16">
        <f>Referencia_24!S16</f>
        <v>93.75</v>
      </c>
      <c r="H16" s="5"/>
      <c r="I16" t="str">
        <f>IF(H16="","",H16-G16)</f>
        <v/>
      </c>
      <c r="J16">
        <f>Referencia_24!X16</f>
        <v>43.75</v>
      </c>
      <c r="K16" s="5"/>
      <c r="L16" t="str">
        <f t="shared" si="0"/>
        <v/>
      </c>
      <c r="M16">
        <f>Referencia_24!Y16</f>
        <v>50</v>
      </c>
      <c r="N16" s="5"/>
      <c r="O16" t="str">
        <f t="shared" si="1"/>
        <v/>
      </c>
      <c r="P16">
        <f>Referencia_24!Z16</f>
        <v>50</v>
      </c>
      <c r="Q16" t="str">
        <f t="shared" si="2"/>
        <v/>
      </c>
    </row>
    <row r="17" spans="1:17">
      <c r="A17" t="s">
        <v>156</v>
      </c>
      <c r="B17" t="s">
        <v>63</v>
      </c>
      <c r="C17" t="s">
        <v>157</v>
      </c>
      <c r="D17">
        <f>Referencia_24!N17</f>
        <v>20</v>
      </c>
      <c r="E17" s="5"/>
      <c r="F17" t="str">
        <f>IF(E17="","",E17-D17)</f>
        <v/>
      </c>
      <c r="G17">
        <f>Referencia_24!S17</f>
        <v>81.25</v>
      </c>
      <c r="H17" s="5"/>
      <c r="I17" t="str">
        <f>IF(H17="","",H17-G17)</f>
        <v/>
      </c>
      <c r="J17">
        <f>Referencia_24!X17</f>
        <v>81.25</v>
      </c>
      <c r="K17" s="5"/>
      <c r="L17" t="str">
        <f t="shared" si="0"/>
        <v/>
      </c>
      <c r="M17">
        <f>Referencia_24!Y17</f>
        <v>0</v>
      </c>
      <c r="N17" s="5"/>
      <c r="O17" t="str">
        <f t="shared" si="1"/>
        <v/>
      </c>
      <c r="P17">
        <f>Referencia_24!Z17</f>
        <v>0</v>
      </c>
      <c r="Q17" t="str">
        <f t="shared" si="2"/>
        <v/>
      </c>
    </row>
    <row r="18" spans="1:17">
      <c r="A18" t="s">
        <v>164</v>
      </c>
      <c r="B18" t="s">
        <v>37</v>
      </c>
      <c r="C18" t="s">
        <v>165</v>
      </c>
      <c r="D18">
        <f>Referencia_24!N18</f>
        <v>100</v>
      </c>
      <c r="E18" s="5"/>
      <c r="F18" t="str">
        <f>IF(E18="","",E18-D18)</f>
        <v/>
      </c>
      <c r="G18">
        <f>Referencia_24!S18</f>
        <v>93.75</v>
      </c>
      <c r="H18" s="5"/>
      <c r="I18" t="str">
        <f>IF(H18="","",H18-G18)</f>
        <v/>
      </c>
      <c r="J18">
        <f>Referencia_24!X18</f>
        <v>87.5</v>
      </c>
      <c r="K18" s="5"/>
      <c r="L18" t="str">
        <f t="shared" si="0"/>
        <v/>
      </c>
      <c r="M18">
        <f>Referencia_24!Y18</f>
        <v>6.25</v>
      </c>
      <c r="N18" s="5"/>
      <c r="O18" t="str">
        <f t="shared" si="1"/>
        <v/>
      </c>
      <c r="P18">
        <f>Referencia_24!Z18</f>
        <v>6.25</v>
      </c>
      <c r="Q18" t="str">
        <f t="shared" si="2"/>
        <v/>
      </c>
    </row>
    <row r="19" spans="1:17">
      <c r="A19" t="s">
        <v>172</v>
      </c>
      <c r="B19" t="s">
        <v>173</v>
      </c>
      <c r="C19" t="s">
        <v>174</v>
      </c>
      <c r="D19">
        <f>Referencia_24!N19</f>
        <v>100</v>
      </c>
      <c r="E19" s="5"/>
      <c r="F19" t="str">
        <f>IF(E19="","",E19-D19)</f>
        <v/>
      </c>
      <c r="G19">
        <f>Referencia_24!S19</f>
        <v>100</v>
      </c>
      <c r="H19" s="5"/>
      <c r="I19" t="str">
        <f>IF(H19="","",H19-G19)</f>
        <v/>
      </c>
      <c r="J19">
        <f>Referencia_24!X19</f>
        <v>75</v>
      </c>
      <c r="K19" s="5"/>
      <c r="L19" t="str">
        <f t="shared" si="0"/>
        <v/>
      </c>
      <c r="M19">
        <f>Referencia_24!Y19</f>
        <v>25</v>
      </c>
      <c r="N19" s="5"/>
      <c r="O19" t="str">
        <f t="shared" si="1"/>
        <v/>
      </c>
      <c r="P19">
        <f>Referencia_24!Z19</f>
        <v>25</v>
      </c>
      <c r="Q19" t="str">
        <f t="shared" si="2"/>
        <v/>
      </c>
    </row>
    <row r="20" spans="1:17">
      <c r="A20" t="s">
        <v>181</v>
      </c>
      <c r="B20" t="s">
        <v>114</v>
      </c>
      <c r="C20" t="s">
        <v>182</v>
      </c>
      <c r="D20">
        <f>Referencia_24!N20</f>
        <v>35</v>
      </c>
      <c r="E20" s="5"/>
      <c r="F20" t="str">
        <f>IF(E20="","",E20-D20)</f>
        <v/>
      </c>
      <c r="G20">
        <f>Referencia_24!S20</f>
        <v>81.25</v>
      </c>
      <c r="H20" s="5"/>
      <c r="I20" t="str">
        <f>IF(H20="","",H20-G20)</f>
        <v/>
      </c>
      <c r="J20">
        <f>Referencia_24!X20</f>
        <v>93.75</v>
      </c>
      <c r="K20" s="5"/>
      <c r="L20" t="str">
        <f t="shared" si="0"/>
        <v/>
      </c>
      <c r="M20">
        <f>Referencia_24!Y20</f>
        <v>-12.5</v>
      </c>
      <c r="N20" s="5"/>
      <c r="O20" t="str">
        <f t="shared" si="1"/>
        <v/>
      </c>
      <c r="P20">
        <f>Referencia_24!Z20</f>
        <v>12.5</v>
      </c>
      <c r="Q20" t="str">
        <f t="shared" si="2"/>
        <v/>
      </c>
    </row>
    <row r="21" spans="1:17">
      <c r="A21" t="s">
        <v>189</v>
      </c>
      <c r="B21" t="s">
        <v>132</v>
      </c>
      <c r="C21" t="s">
        <v>190</v>
      </c>
      <c r="D21">
        <f>Referencia_24!N21</f>
        <v>100</v>
      </c>
      <c r="E21" s="5"/>
      <c r="F21" t="str">
        <f>IF(E21="","",E21-D21)</f>
        <v/>
      </c>
      <c r="G21">
        <f>Referencia_24!S21</f>
        <v>93.75</v>
      </c>
      <c r="H21" s="5"/>
      <c r="I21" t="str">
        <f>IF(H21="","",H21-G21)</f>
        <v/>
      </c>
      <c r="J21">
        <f>Referencia_24!X21</f>
        <v>87.5</v>
      </c>
      <c r="K21" s="5"/>
      <c r="L21" t="str">
        <f t="shared" si="0"/>
        <v/>
      </c>
      <c r="M21">
        <f>Referencia_24!Y21</f>
        <v>6.25</v>
      </c>
      <c r="N21" s="5"/>
      <c r="O21" t="str">
        <f t="shared" si="1"/>
        <v/>
      </c>
      <c r="P21">
        <f>Referencia_24!Z21</f>
        <v>6.25</v>
      </c>
      <c r="Q21" t="str">
        <f t="shared" si="2"/>
        <v/>
      </c>
    </row>
    <row r="22" spans="1:17">
      <c r="A22" t="s">
        <v>197</v>
      </c>
      <c r="B22" t="s">
        <v>123</v>
      </c>
      <c r="C22" t="s">
        <v>198</v>
      </c>
      <c r="D22">
        <f>Referencia_24!N22</f>
        <v>100</v>
      </c>
      <c r="E22" s="5"/>
      <c r="F22" t="str">
        <f>IF(E22="","",E22-D22)</f>
        <v/>
      </c>
      <c r="G22">
        <f>Referencia_24!S22</f>
        <v>43.75</v>
      </c>
      <c r="H22" s="5"/>
      <c r="I22" t="str">
        <f>IF(H22="","",H22-G22)</f>
        <v/>
      </c>
      <c r="J22">
        <f>Referencia_24!X22</f>
        <v>87.5</v>
      </c>
      <c r="K22" s="5"/>
      <c r="L22" t="str">
        <f t="shared" si="0"/>
        <v/>
      </c>
      <c r="M22">
        <f>Referencia_24!Y22</f>
        <v>-43.75</v>
      </c>
      <c r="N22" s="5"/>
      <c r="O22" t="str">
        <f t="shared" si="1"/>
        <v/>
      </c>
      <c r="P22">
        <f>Referencia_24!Z22</f>
        <v>43.75</v>
      </c>
      <c r="Q22" t="str">
        <f t="shared" si="2"/>
        <v/>
      </c>
    </row>
    <row r="23" spans="1:17">
      <c r="A23" t="s">
        <v>205</v>
      </c>
      <c r="B23" t="s">
        <v>72</v>
      </c>
      <c r="C23" t="s">
        <v>206</v>
      </c>
      <c r="D23">
        <f>Referencia_24!N23</f>
        <v>25</v>
      </c>
      <c r="E23" s="5"/>
      <c r="F23" t="str">
        <f>IF(E23="","",E23-D23)</f>
        <v/>
      </c>
      <c r="G23">
        <f>Referencia_24!S23</f>
        <v>68.75</v>
      </c>
      <c r="H23" s="5"/>
      <c r="I23" t="str">
        <f>IF(H23="","",H23-G23)</f>
        <v/>
      </c>
      <c r="J23">
        <f>Referencia_24!X23</f>
        <v>81.25</v>
      </c>
      <c r="K23" s="5"/>
      <c r="L23" t="str">
        <f t="shared" si="0"/>
        <v/>
      </c>
      <c r="M23">
        <f>Referencia_24!Y23</f>
        <v>-12.5</v>
      </c>
      <c r="N23" s="5"/>
      <c r="O23" t="str">
        <f t="shared" si="1"/>
        <v/>
      </c>
      <c r="P23">
        <f>Referencia_24!Z23</f>
        <v>12.5</v>
      </c>
      <c r="Q23" t="str">
        <f t="shared" si="2"/>
        <v/>
      </c>
    </row>
    <row r="24" spans="1:17">
      <c r="A24" t="s">
        <v>213</v>
      </c>
      <c r="B24" t="s">
        <v>28</v>
      </c>
      <c r="C24" t="s">
        <v>214</v>
      </c>
      <c r="D24">
        <f>Referencia_24!N24</f>
        <v>100</v>
      </c>
      <c r="E24" s="5"/>
      <c r="F24" t="str">
        <f>IF(E24="","",E24-D24)</f>
        <v/>
      </c>
      <c r="G24">
        <f>Referencia_24!S24</f>
        <v>87.5</v>
      </c>
      <c r="H24" s="5"/>
      <c r="I24" t="str">
        <f>IF(H24="","",H24-G24)</f>
        <v/>
      </c>
      <c r="J24">
        <f>Referencia_24!X24</f>
        <v>62.5</v>
      </c>
      <c r="K24" s="5"/>
      <c r="L24" t="str">
        <f t="shared" si="0"/>
        <v/>
      </c>
      <c r="M24">
        <f>Referencia_24!Y24</f>
        <v>25</v>
      </c>
      <c r="N24" s="5"/>
      <c r="O24" t="str">
        <f t="shared" si="1"/>
        <v/>
      </c>
      <c r="P24">
        <f>Referencia_24!Z24</f>
        <v>25</v>
      </c>
      <c r="Q24" t="str">
        <f t="shared" si="2"/>
        <v/>
      </c>
    </row>
    <row r="25" spans="1:17">
      <c r="A25" t="s">
        <v>221</v>
      </c>
      <c r="B25" t="s">
        <v>222</v>
      </c>
      <c r="C25" t="s">
        <v>223</v>
      </c>
      <c r="D25">
        <f>Referencia_24!N25</f>
        <v>100</v>
      </c>
      <c r="E25" s="5"/>
      <c r="F25" t="str">
        <f>IF(E25="","",E25-D25)</f>
        <v/>
      </c>
      <c r="G25">
        <f>Referencia_24!S25</f>
        <v>81.25</v>
      </c>
      <c r="H25" s="5"/>
      <c r="I25" t="str">
        <f>IF(H25="","",H25-G25)</f>
        <v/>
      </c>
      <c r="J25">
        <f>Referencia_24!X25</f>
        <v>81.25</v>
      </c>
      <c r="K25" s="5"/>
      <c r="L25" t="str">
        <f t="shared" si="0"/>
        <v/>
      </c>
      <c r="M25">
        <f>Referencia_24!Y25</f>
        <v>0</v>
      </c>
      <c r="N25" s="5"/>
      <c r="O25" t="str">
        <f t="shared" si="1"/>
        <v/>
      </c>
      <c r="P25">
        <f>Referencia_24!Z25</f>
        <v>0</v>
      </c>
      <c r="Q25" t="str">
        <f t="shared" si="2"/>
        <v/>
      </c>
    </row>
  </sheetData>
  <conditionalFormatting sqref="F2:F25">
    <cfRule type="colorScale" priority="1">
      <colorScale>
        <cfvo type="min"/>
        <cfvo type="percentile" val="50"/>
        <cfvo type="max"/>
        <color rgb="FFF8696B"/>
        <color rgb="FFFFFFFF"/>
        <color rgb="FF63BE7B"/>
      </colorScale>
    </cfRule>
  </conditionalFormatting>
  <conditionalFormatting sqref="I2:I25">
    <cfRule type="colorScale" priority="2">
      <colorScale>
        <cfvo type="min"/>
        <cfvo type="percentile" val="50"/>
        <cfvo type="max"/>
        <color rgb="FFF8696B"/>
        <color rgb="FFFFFFFF"/>
        <color rgb="FF63BE7B"/>
      </colorScale>
    </cfRule>
  </conditionalFormatting>
  <conditionalFormatting sqref="L2:L25">
    <cfRule type="colorScale" priority="3">
      <colorScale>
        <cfvo type="min"/>
        <cfvo type="percentile" val="50"/>
        <cfvo type="max"/>
        <color rgb="FFF8696B"/>
        <color rgb="FFFFFF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tabSelected="1" workbookViewId="0">
      <selection activeCell="B22" sqref="B22"/>
    </sheetView>
  </sheetViews>
  <sheetFormatPr defaultRowHeight="14.25"/>
  <cols>
    <col min="1" max="1" width="24" customWidth="1"/>
    <col min="2" max="2" width="95" customWidth="1"/>
  </cols>
  <sheetData>
    <row r="1" spans="1:2" ht="28.5">
      <c r="A1" s="7" t="s">
        <v>240</v>
      </c>
      <c r="B1" s="8" t="s">
        <v>260</v>
      </c>
    </row>
    <row r="2" spans="1:2" ht="15">
      <c r="A2" s="6" t="s">
        <v>241</v>
      </c>
      <c r="B2" t="s">
        <v>242</v>
      </c>
    </row>
    <row r="3" spans="1:2" ht="15">
      <c r="A3" s="6" t="s">
        <v>8</v>
      </c>
      <c r="B3" t="s">
        <v>243</v>
      </c>
    </row>
    <row r="4" spans="1:2" ht="15">
      <c r="A4" s="6" t="s">
        <v>9</v>
      </c>
      <c r="B4" t="s">
        <v>244</v>
      </c>
    </row>
    <row r="5" spans="1:2" ht="15">
      <c r="A5" s="6" t="s">
        <v>10</v>
      </c>
      <c r="B5" t="s">
        <v>245</v>
      </c>
    </row>
    <row r="6" spans="1:2" ht="15">
      <c r="A6" s="6" t="s">
        <v>11</v>
      </c>
      <c r="B6" t="s">
        <v>246</v>
      </c>
    </row>
    <row r="7" spans="1:2" ht="15">
      <c r="A7" s="6" t="s">
        <v>12</v>
      </c>
      <c r="B7" t="s">
        <v>247</v>
      </c>
    </row>
    <row r="8" spans="1:2" ht="15">
      <c r="A8" s="6" t="s">
        <v>248</v>
      </c>
      <c r="B8" t="s">
        <v>249</v>
      </c>
    </row>
    <row r="9" spans="1:2" ht="15">
      <c r="A9" s="6" t="s">
        <v>250</v>
      </c>
      <c r="B9" t="s">
        <v>251</v>
      </c>
    </row>
    <row r="10" spans="1:2" ht="15">
      <c r="A10" s="6" t="s">
        <v>252</v>
      </c>
      <c r="B10" t="s">
        <v>253</v>
      </c>
    </row>
    <row r="11" spans="1:2" ht="15">
      <c r="A11" s="6" t="s">
        <v>254</v>
      </c>
      <c r="B11" t="s">
        <v>255</v>
      </c>
    </row>
    <row r="12" spans="1:2" ht="15">
      <c r="A12" s="6" t="s">
        <v>256</v>
      </c>
      <c r="B12" t="s">
        <v>257</v>
      </c>
    </row>
    <row r="13" spans="1:2" ht="15">
      <c r="A13" s="6" t="s">
        <v>258</v>
      </c>
      <c r="B13"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Referencia_24</vt:lpstr>
      <vt:lpstr>Comparacion_LCT</vt:lpstr>
      <vt:lpstr>Rubrica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RALON GAMBOA, ALLAN DANIEL</cp:lastModifiedBy>
  <dcterms:modified xsi:type="dcterms:W3CDTF">2026-10-10T03:12:18Z</dcterms:modified>
</cp:coreProperties>
</file>